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lcome" sheetId="1" state="visible" r:id="rId3"/>
    <sheet name="Dashboard" sheetId="2" state="visible" r:id="rId4"/>
    <sheet name="Jan" sheetId="3" state="visible" r:id="rId5"/>
    <sheet name="Feb" sheetId="4" state="visible" r:id="rId6"/>
    <sheet name="Mar" sheetId="5" state="visible" r:id="rId7"/>
    <sheet name="Apr" sheetId="6" state="visible" r:id="rId8"/>
    <sheet name="May" sheetId="7" state="visible" r:id="rId9"/>
    <sheet name="Jun" sheetId="8" state="visible" r:id="rId10"/>
    <sheet name="Jul" sheetId="9" state="visible" r:id="rId11"/>
    <sheet name="Aug" sheetId="10" state="visible" r:id="rId12"/>
    <sheet name="Sep" sheetId="11" state="visible" r:id="rId13"/>
    <sheet name="Oct" sheetId="12" state="visible" r:id="rId14"/>
    <sheet name="Nov" sheetId="13" state="visible" r:id="rId15"/>
    <sheet name="Dec" sheetId="14" state="visible" r:id="rId16"/>
    <sheet name="Annual Overview" sheetId="15" state="visible" r:id="rId17"/>
    <sheet name="Transactions" sheetId="16" state="visible" r:id="rId18"/>
    <sheet name="Debt Payoff Tracker" sheetId="17" state="visible" r:id="rId19"/>
    <sheet name="Savings Goals" sheetId="18" state="visible" r:id="rId20"/>
    <sheet name="Categories" sheetId="19" state="visible" r:id="rId21"/>
  </sheets>
  <definedNames>
    <definedName function="false" hidden="false" localSheetId="16" name="_xlnm.Print_Area" vbProcedure="false">'Debt Payoff Tracker'!$A$1:$H$25</definedName>
    <definedName function="false" hidden="false" localSheetId="17" name="_xlnm.Print_Area" vbProcedure="false">'Savings Goals'!$A$1:$G$21</definedName>
    <definedName function="false" hidden="false" localSheetId="15" name="_xlnm.Print_Area" vbProcedure="false">Transactions!$A$1:$H$60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<sst xmlns="http://schemas.openxmlformats.org/spreadsheetml/2006/main" count="859" uniqueCount="159">
  <si>
    <t xml:space="preserve">THE ULTIMATE
BUDGET PLANNER</t>
  </si>
  <si>
    <t xml:space="preserve">A complete system for planning, tracking &amp; growing your money</t>
  </si>
  <si>
    <t xml:space="preserve">YEAR</t>
  </si>
  <si>
    <t xml:space="preserve">WHAT'S INSIDE</t>
  </si>
  <si>
    <t xml:space="preserve">Dashboard</t>
  </si>
  <si>
    <t xml:space="preserve">Your at-a-glance yearly overview with automatic charts.</t>
  </si>
  <si>
    <t xml:space="preserve">Jan - Dec Tabs</t>
  </si>
  <si>
    <t xml:space="preserve">A full monthly budget: plan it, then track what actually happened.</t>
  </si>
  <si>
    <t xml:space="preserve">Transactions</t>
  </si>
  <si>
    <t xml:space="preserve">Log every purchase once — everything else updates itself.</t>
  </si>
  <si>
    <t xml:space="preserve">Annual Overview</t>
  </si>
  <si>
    <t xml:space="preserve">All 12 months side-by-side, so trends jump right out.</t>
  </si>
  <si>
    <t xml:space="preserve">Debt Payoff Tracker</t>
  </si>
  <si>
    <t xml:space="preserve">See exactly when each debt will hit zero.</t>
  </si>
  <si>
    <t xml:space="preserve">Savings Goals</t>
  </si>
  <si>
    <t xml:space="preserve">Turn 'someday' goals into a monthly savings number.</t>
  </si>
  <si>
    <t xml:space="preserve">HOW TO USE THIS PLANNER</t>
  </si>
  <si>
    <t xml:space="preserve">1.  Start on the Transactions tab and log your income &amp; expenses as they happen (or all at once for the month).</t>
  </si>
  <si>
    <t xml:space="preserve">2.  Open the matching month tab (Jan, Feb, ...) and fill in the yellow BUDGETED column with your plan for each category.</t>
  </si>
  <si>
    <t xml:space="preserve">3.  The ACTUAL and VARIANCE columns fill in automatically from your Transactions log — no manual math required.</t>
  </si>
  <si>
    <t xml:space="preserve">4.  Check the Dashboard any time for a live picture of the whole year.</t>
  </si>
  <si>
    <t xml:space="preserve">5.  Use the Debt Payoff and Savings Goals tabs to plan beyond the month-to-month.</t>
  </si>
  <si>
    <t xml:space="preserve">COLOR KEY</t>
  </si>
  <si>
    <t xml:space="preserve">Yellow / gold cells = type your own numbers here</t>
  </si>
  <si>
    <t xml:space="preserve">White cells with a formula = calculated automatically, don't overwrite</t>
  </si>
  <si>
    <t xml:space="preserve">Teal band = Income section</t>
  </si>
  <si>
    <t xml:space="preserve">Blush band = Variable Expenses section</t>
  </si>
  <si>
    <t xml:space="preserve">Tip: right-click any sheet tab to duplicate it if you'd like extra copies (e.g. per bank account).</t>
  </si>
  <si>
    <t xml:space="preserve">TOTAL INCOME (YTD)</t>
  </si>
  <si>
    <t xml:space="preserve">TOTAL EXPENSES (YTD)</t>
  </si>
  <si>
    <t xml:space="preserve">TOTAL SAVED (YTD)</t>
  </si>
  <si>
    <t xml:space="preserve">NET CASH FLOW (YTD)</t>
  </si>
  <si>
    <t xml:space="preserve">SAVINGS RATE (YTD)</t>
  </si>
  <si>
    <t xml:space="preserve">AVG MONTHLY SPEND</t>
  </si>
  <si>
    <t xml:space="preserve">Category</t>
  </si>
  <si>
    <t xml:space="preserve">YTD Total</t>
  </si>
  <si>
    <t xml:space="preserve">Rent / Mortgage</t>
  </si>
  <si>
    <t xml:space="preserve">Utilities</t>
  </si>
  <si>
    <t xml:space="preserve">Insurance</t>
  </si>
  <si>
    <t xml:space="preserve">Phone Bill</t>
  </si>
  <si>
    <t xml:space="preserve">Internet</t>
  </si>
  <si>
    <t xml:space="preserve">Subscriptions</t>
  </si>
  <si>
    <t xml:space="preserve">Car Payment</t>
  </si>
  <si>
    <t xml:space="preserve">Loan Payments</t>
  </si>
  <si>
    <t xml:space="preserve">Groceries</t>
  </si>
  <si>
    <t xml:space="preserve">Dining Out</t>
  </si>
  <si>
    <t xml:space="preserve">Transportation / Gas</t>
  </si>
  <si>
    <t xml:space="preserve">Entertainment</t>
  </si>
  <si>
    <t xml:space="preserve">Shopping</t>
  </si>
  <si>
    <t xml:space="preserve">Personal Care</t>
  </si>
  <si>
    <t xml:space="preserve">Health / Medical</t>
  </si>
  <si>
    <t xml:space="preserve">Pet Care</t>
  </si>
  <si>
    <t xml:space="preserve">Childcare</t>
  </si>
  <si>
    <t xml:space="preserve">Gifts &amp; Donations</t>
  </si>
  <si>
    <t xml:space="preserve">Travel</t>
  </si>
  <si>
    <t xml:space="preserve">Miscellaneous</t>
  </si>
  <si>
    <t xml:space="preserve">Plan it in BUDGETED, then let ACTUAL fill in from your Transactions log.</t>
  </si>
  <si>
    <t xml:space="preserve">CATEGORY</t>
  </si>
  <si>
    <t xml:space="preserve">BUDGETED</t>
  </si>
  <si>
    <t xml:space="preserve">ACTUAL</t>
  </si>
  <si>
    <t xml:space="preserve">VARIANCE</t>
  </si>
  <si>
    <t xml:space="preserve">INCOME</t>
  </si>
  <si>
    <t xml:space="preserve">Salary</t>
  </si>
  <si>
    <t xml:space="preserve">Freelance / Side Hustle</t>
  </si>
  <si>
    <t xml:space="preserve">Bonus</t>
  </si>
  <si>
    <t xml:space="preserve">Investment Income</t>
  </si>
  <si>
    <t xml:space="preserve">Gifts Received</t>
  </si>
  <si>
    <t xml:space="preserve">Other Income</t>
  </si>
  <si>
    <t xml:space="preserve">Total Income</t>
  </si>
  <si>
    <t xml:space="preserve">FIXED EXPENSES</t>
  </si>
  <si>
    <t xml:space="preserve">Total Fixed Expenses</t>
  </si>
  <si>
    <t xml:space="preserve">VARIABLE EXPENSES</t>
  </si>
  <si>
    <t xml:space="preserve">Total Variable Expenses</t>
  </si>
  <si>
    <t xml:space="preserve">SAVINGS &amp; DEBT</t>
  </si>
  <si>
    <t xml:space="preserve">Emergency Fund</t>
  </si>
  <si>
    <t xml:space="preserve">Retirement Savings</t>
  </si>
  <si>
    <t xml:space="preserve">Investment Contributions</t>
  </si>
  <si>
    <t xml:space="preserve">Debt Payoff</t>
  </si>
  <si>
    <t xml:space="preserve">Vacation Fund</t>
  </si>
  <si>
    <t xml:space="preserve">Other Savings</t>
  </si>
  <si>
    <t xml:space="preserve">Total Savings &amp; Debt</t>
  </si>
  <si>
    <t xml:space="preserve">MONTH SUMMARY</t>
  </si>
  <si>
    <t xml:space="preserve">Total Expenses (Fixed + Variable)</t>
  </si>
  <si>
    <t xml:space="preserve">Total Savings &amp; Debt Payments</t>
  </si>
  <si>
    <t xml:space="preserve">NET REMAINING (Income - Everything Else)</t>
  </si>
  <si>
    <t xml:space="preserve">ANNUAL OVERVIEW — ACTUAL SPENDING BY MONTH</t>
  </si>
  <si>
    <t xml:space="preserve">Every number below is pulled automatically from the 12 monthly tabs — nothing to fill in here.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</si>
  <si>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</si>
  <si>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</si>
  <si>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</si>
  <si>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</si>
  <si>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</si>
  <si>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</si>
  <si>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</si>
  <si>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</si>
  <si>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</si>
  <si>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</si>
  <si>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</si>
  <si>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</si>
  <si>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ACTUAL</t>
  </si>
  <si>
    <t xml:space="preserve">TOTAL BUDGETED</t>
  </si>
  <si>
    <t xml:space="preserve">YEAR SUMMARY</t>
  </si>
  <si>
    <t xml:space="preserve">Total Expenses</t>
  </si>
  <si>
    <t xml:space="preserve">Net Cash Flow</t>
  </si>
  <si>
    <t xml:space="preserve">TRANSACTIONS LOG</t>
  </si>
  <si>
    <t xml:space="preserve">Log every purchase and paycheck here — the whole planner updates itself from this sheet.</t>
  </si>
  <si>
    <t xml:space="preserve">Date</t>
  </si>
  <si>
    <t xml:space="preserve">Description</t>
  </si>
  <si>
    <t xml:space="preserve">Type</t>
  </si>
  <si>
    <t xml:space="preserve">Amount</t>
  </si>
  <si>
    <t xml:space="preserve">Month#</t>
  </si>
  <si>
    <t xml:space="preserve">Payment Method</t>
  </si>
  <si>
    <t xml:space="preserve">Notes</t>
  </si>
  <si>
    <t xml:space="preserve">January Paycheck</t>
  </si>
  <si>
    <t xml:space="preserve">Direct Deposit</t>
  </si>
  <si>
    <t xml:space="preserve">Rent Payment</t>
  </si>
  <si>
    <t xml:space="preserve">Bank Transfer</t>
  </si>
  <si>
    <t xml:space="preserve">Electric &amp; Gas Bill</t>
  </si>
  <si>
    <t xml:space="preserve">Debit Card</t>
  </si>
  <si>
    <t xml:space="preserve">Trader Joe's</t>
  </si>
  <si>
    <t xml:space="preserve">Credit Card</t>
  </si>
  <si>
    <t xml:space="preserve">Netflix + Spotify</t>
  </si>
  <si>
    <t xml:space="preserve">Gas Station</t>
  </si>
  <si>
    <t xml:space="preserve">Dinner with friends</t>
  </si>
  <si>
    <t xml:space="preserve">Transfer to Savings</t>
  </si>
  <si>
    <t xml:space="preserve">Credit Card Payment</t>
  </si>
  <si>
    <t xml:space="preserve">Freelance Project</t>
  </si>
  <si>
    <t xml:space="preserve">PayPal</t>
  </si>
  <si>
    <t xml:space="preserve">Weekly Grocery Run</t>
  </si>
  <si>
    <t xml:space="preserve">DEBT PAYOFF TRACKER</t>
  </si>
  <si>
    <t xml:space="preserve">List every debt, add an extra payment, and see the payoff estimate update instantly.</t>
  </si>
  <si>
    <t xml:space="preserve">Debt Name</t>
  </si>
  <si>
    <t xml:space="preserve">Balance</t>
  </si>
  <si>
    <t xml:space="preserve">Interest Rate</t>
  </si>
  <si>
    <t xml:space="preserve">Minimum Payment</t>
  </si>
  <si>
    <t xml:space="preserve">Extra Payment</t>
  </si>
  <si>
    <t xml:space="preserve">Total Monthly Payment</t>
  </si>
  <si>
    <t xml:space="preserve">Months to Payoff</t>
  </si>
  <si>
    <t xml:space="preserve">Visa Credit Card</t>
  </si>
  <si>
    <t xml:space="preserve">Student Loan</t>
  </si>
  <si>
    <t xml:space="preserve">Car Loan</t>
  </si>
  <si>
    <t xml:space="preserve">TOTAL DEBT</t>
  </si>
  <si>
    <t xml:space="preserve">Tip: pay minimums on everything, then throw every spare dollar at the smallest balance (snowball) or the highest interest rate (avalanche) as your Extra Payment.</t>
  </si>
  <si>
    <t xml:space="preserve">SAVINGS GOALS TRACKER</t>
  </si>
  <si>
    <t xml:space="preserve">Turn a wish into a plan — see exactly how much to save each month.</t>
  </si>
  <si>
    <t xml:space="preserve">Goal Name</t>
  </si>
  <si>
    <t xml:space="preserve">Target Amount</t>
  </si>
  <si>
    <t xml:space="preserve">Current Saved</t>
  </si>
  <si>
    <t xml:space="preserve">Target Date</t>
  </si>
  <si>
    <t xml:space="preserve">% Complete</t>
  </si>
  <si>
    <t xml:space="preserve">Monthly Amount Needed</t>
  </si>
  <si>
    <t xml:space="preserve">Dream Vacation</t>
  </si>
  <si>
    <t xml:space="preserve">New Car Down Payment</t>
  </si>
  <si>
    <t xml:space="preserve">Monthly Amount Needed assumes even monthly contributions from today until your target date.</t>
  </si>
  <si>
    <t xml:space="preserve">TYPE</t>
  </si>
  <si>
    <t xml:space="preserve">Income</t>
  </si>
  <si>
    <t xml:space="preserve">Fixed Expense</t>
  </si>
  <si>
    <t xml:space="preserve">Variable Expense</t>
  </si>
  <si>
    <t xml:space="preserve">Savings &amp; Debt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</si>
</sst>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[RED]&quot;-$&quot;#,##0"/>
    <numFmt numFmtId="166" formatCode="0.0%"/>
    <numFmt numFmtId="167" formatCode="mm/dd/yyyy"/>
    <numFmt numFmtId="168" formatCode="\$#,##0.00;[RED]&quot;-$&quot;#,##0.00"/>
    <numFmt numFmtId="169" formatCode="0&quot; months&quot;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2F5D62"/>
      <name val="Arial"/>
      <family val="0"/>
      <charset val="1"/>
    </font>
    <font>
      <i val="true"/>
      <sz val="12"/>
      <color rgb="FFD9A44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2F5D62"/>
      <name val="Arial"/>
      <family val="0"/>
      <charset val="1"/>
    </font>
    <font>
      <sz val="10.5"/>
      <color rgb="FF3A3A3A"/>
      <name val="Arial"/>
      <family val="0"/>
      <charset val="1"/>
    </font>
    <font>
      <sz val="10"/>
      <color rgb="FF3A3A3A"/>
      <name val="Arial"/>
      <family val="0"/>
      <charset val="1"/>
    </font>
    <font>
      <i val="true"/>
      <sz val="9.5"/>
      <color rgb="FF8FA998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3A3A3A"/>
      <name val="Arial"/>
      <family val="0"/>
      <charset val="1"/>
    </font>
    <font>
      <b val="true"/>
      <sz val="18"/>
      <color rgb="FF3A3A3A"/>
      <name val="Arial"/>
      <family val="0"/>
      <charset val="1"/>
    </font>
    <font>
      <b val="true"/>
      <sz val="11"/>
      <color rgb="FF3A3A3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7"/>
      <color rgb="FFFFFFFF"/>
      <name val="Arial"/>
      <family val="0"/>
      <charset val="1"/>
    </font>
    <font>
      <i val="true"/>
      <sz val="10"/>
      <color rgb="FF3A3A3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.5"/>
      <color rgb="FF1F4E78"/>
      <name val="Arial"/>
      <family val="0"/>
      <charset val="1"/>
    </font>
    <font>
      <b val="true"/>
      <sz val="10.5"/>
      <color rgb="FF3A3A3A"/>
      <name val="Arial"/>
      <family val="0"/>
      <charset val="1"/>
    </font>
    <font>
      <b val="true"/>
      <sz val="10.5"/>
      <color rgb="FF2F5D62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9.5"/>
      <color rgb="FF3A3A3A"/>
      <name val="Arial"/>
      <family val="0"/>
      <charset val="1"/>
    </font>
    <font>
      <b val="true"/>
      <sz val="9.5"/>
      <color rgb="FF2F5D62"/>
      <name val="Arial"/>
      <family val="0"/>
      <charset val="1"/>
    </font>
    <font>
      <b val="true"/>
      <sz val="10"/>
      <color rgb="FF3A3A3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.5"/>
      <color rgb="FF1F4E78"/>
      <name val="Arial"/>
      <family val="0"/>
      <charset val="1"/>
    </font>
    <font>
      <i val="true"/>
      <sz val="10.5"/>
      <color rgb="FF3A3A3A"/>
      <name val="Arial"/>
      <family val="0"/>
      <charset val="1"/>
    </font>
    <font>
      <b val="true"/>
      <sz val="10.5"/>
      <color rgb="FFC0504D"/>
      <name val="Arial"/>
      <family val="0"/>
      <charset val="1"/>
    </font>
    <font>
      <b val="true"/>
      <sz val="12"/>
      <color rgb="FFC0504D"/>
      <name val="Arial"/>
      <family val="0"/>
      <charset val="1"/>
    </font>
    <font>
      <b val="true"/>
      <sz val="10.5"/>
      <color rgb="FF4F7942"/>
      <name val="Arial"/>
      <family val="0"/>
      <charset val="1"/>
    </font>
    <font>
      <sz val="11"/>
      <color rgb="FF3A3A3A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BF7F0"/>
        <bgColor rgb="FFF9F9F9"/>
      </patternFill>
    </fill>
    <fill>
      <patternFill patternType="solid">
        <fgColor rgb="FF2F5D62"/>
        <bgColor rgb="FF1F4E78"/>
      </patternFill>
    </fill>
    <fill>
      <patternFill patternType="solid">
        <fgColor rgb="FFF7E9CC"/>
        <bgColor rgb="FFFBEAEB"/>
      </patternFill>
    </fill>
    <fill>
      <patternFill patternType="solid">
        <fgColor rgb="FFD9A441"/>
        <bgColor rgb="FFE78C41"/>
      </patternFill>
    </fill>
    <fill>
      <patternFill patternType="solid">
        <fgColor rgb="FFFFFFFF"/>
        <bgColor rgb="FFF9F9F9"/>
      </patternFill>
    </fill>
    <fill>
      <patternFill patternType="solid">
        <fgColor rgb="FFDCEAE8"/>
        <bgColor rgb="FFE7EEE9"/>
      </patternFill>
    </fill>
    <fill>
      <patternFill patternType="solid">
        <fgColor rgb="FFFBEAEB"/>
        <bgColor rgb="FFF5F5F0"/>
      </patternFill>
    </fill>
    <fill>
      <patternFill patternType="solid">
        <fgColor rgb="FF4F7942"/>
        <bgColor rgb="FF2F5D62"/>
      </patternFill>
    </fill>
    <fill>
      <patternFill patternType="solid">
        <fgColor rgb="FFC0504D"/>
        <bgColor rgb="FFB34A48"/>
      </patternFill>
    </fill>
    <fill>
      <patternFill patternType="solid">
        <fgColor rgb="FF8FA998"/>
        <bgColor rgb="FF7E9BC7"/>
      </patternFill>
    </fill>
    <fill>
      <patternFill patternType="solid">
        <fgColor rgb="FF3A3A3A"/>
        <bgColor rgb="FF1F4E78"/>
      </patternFill>
    </fill>
    <fill>
      <patternFill patternType="solid">
        <fgColor rgb="FFE8B4B8"/>
        <bgColor rgb="FFDDB5B5"/>
      </patternFill>
    </fill>
    <fill>
      <patternFill patternType="solid">
        <fgColor rgb="FFE7EEE9"/>
        <bgColor rgb="FFDCEAE8"/>
      </patternFill>
    </fill>
    <fill>
      <patternFill patternType="solid">
        <fgColor rgb="FFF5F5F0"/>
        <bgColor rgb="FFFBF7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/>
      <right/>
      <top style="thin">
        <color rgb="FF3A3A3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91AF53"/>
      <rgbColor rgb="FF0000FF"/>
      <rgbColor rgb="FFADC683"/>
      <rgbColor rgb="FFFF00FF"/>
      <rgbColor rgb="FF8FA998"/>
      <rgbColor rgb="FF800000"/>
      <rgbColor rgb="FF4F7942"/>
      <rgbColor rgb="FF000080"/>
      <rgbColor rgb="FF7A9346"/>
      <rgbColor rgb="FF800080"/>
      <rgbColor rgb="FF2F5D62"/>
      <rgbColor rgb="FFC9C9C9"/>
      <rgbColor rgb="FF878787"/>
      <rgbColor rgb="FF7E9BC7"/>
      <rgbColor rgb="FF973F3C"/>
      <rgbColor rgb="FFFBF7F0"/>
      <rgbColor rgb="FFDCEAE8"/>
      <rgbColor rgb="FF660066"/>
      <rgbColor rgb="FFE78C41"/>
      <rgbColor rgb="FF3E6595"/>
      <rgbColor rgb="FFD9D9D9"/>
      <rgbColor rgb="FF000080"/>
      <rgbColor rgb="FFFF00FF"/>
      <rgbColor rgb="FFFBEAEB"/>
      <rgbColor rgb="FFF9F9F9"/>
      <rgbColor rgb="FF800080"/>
      <rgbColor rgb="FF800000"/>
      <rgbColor rgb="FF4F81BD"/>
      <rgbColor rgb="FF0000FF"/>
      <rgbColor rgb="FF7CBACF"/>
      <rgbColor rgb="FFE7EEE9"/>
      <rgbColor rgb="FFF5F5F0"/>
      <rgbColor rgb="FFF7E9CC"/>
      <rgbColor rgb="FFB5C3DB"/>
      <rgbColor rgb="FFDDB5B5"/>
      <rgbColor rgb="FFCA7E7D"/>
      <rgbColor rgb="FFE8B4B8"/>
      <rgbColor rgb="FF4978B1"/>
      <rgbColor rgb="FF46A1B9"/>
      <rgbColor rgb="FF9BBB59"/>
      <rgbColor rgb="FFF8AA7A"/>
      <rgbColor rgb="FFD9A441"/>
      <rgbColor rgb="FFC27637"/>
      <rgbColor rgb="FF775D97"/>
      <rgbColor rgb="FF9A89B2"/>
      <rgbColor rgb="FF003366"/>
      <rgbColor rgb="FF3B879C"/>
      <rgbColor rgb="FF003300"/>
      <rgbColor rgb="FF654E7F"/>
      <rgbColor rgb="FFC0504D"/>
      <rgbColor rgb="FFB34A48"/>
      <rgbColor rgb="FF1F4E78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vs. Expenses vs. Savings —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'Annual Overview'!A50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Overview'!$B$4:$M$4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'Annual Overview'!$B$50:$M$50</c:f>
              <c:numCache>
                <c:formatCode>\$#,##0;[RED]"-$"#,##0</c:formatCode>
                <c:ptCount val="12"/>
                <c:pt idx="0">
                  <c:v>6850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'Annual Overview'!A51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Overview'!$B$4:$M$4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'Annual Overview'!$B$51:$M$51</c:f>
              <c:numCache>
                <c:formatCode>\$#,##0;[RED]"-$"#,##0</c:formatCode>
                <c:ptCount val="12"/>
                <c:pt idx="0">
                  <c:v>1958.47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'Annual Overview'!A52</c:f>
              <c:strCache>
                <c:ptCount val="1"/>
                <c:pt idx="0">
                  <c:v>Total Savings &amp; Debt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Overview'!$B$4:$M$4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'Annual Overview'!$B$52:$M$52</c:f>
              <c:numCache>
                <c:formatCode>\$#,##0;[RED]"-$"#,##0</c:formatCode>
                <c:ptCount val="12"/>
                <c:pt idx="0">
                  <c:v>450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72260423"/>
        <c:axId val="60884686"/>
      </c:barChart>
      <c:catAx>
        <c:axId val="722604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84686"/>
        <c:crosses val="autoZero"/>
        <c:auto val="1"/>
        <c:lblAlgn val="ctr"/>
        <c:lblOffset val="100"/>
        <c:noMultiLvlLbl val="0"/>
      </c:catAx>
      <c:valAx>
        <c:axId val="60884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[RED]&quot;-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604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Your Money Went — YTD Expense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Dashboard!I11</c:f>
              <c:strCache>
                <c:ptCount val="1"/>
                <c:pt idx="0">
                  <c:v>YTD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e659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73f3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7a9346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54e7f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b879c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27637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978b1"/>
              </a:solidFill>
              <a:ln w="0">
                <a:noFill/>
              </a:ln>
            </c:spPr>
          </c:dPt>
          <c:dPt>
            <c:idx val="7"/>
            <c:spPr>
              <a:solidFill>
                <a:srgbClr val="b34a48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1af53"/>
              </a:solidFill>
              <a:ln w="0">
                <a:noFill/>
              </a:ln>
            </c:spPr>
          </c:dPt>
          <c:dPt>
            <c:idx val="9"/>
            <c:spPr>
              <a:solidFill>
                <a:srgbClr val="775d97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46a1b9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e78c4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7e9bc7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ca7e7d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adc683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9a89b2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cbacf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f8aa7a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b5c3db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ddb5b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Dashboard!$H$12:$H$31</c:f>
              <c:strCache>
                <c:ptCount val="20"/>
                <c:pt idx="0">
                  <c:v>Rent / Mortgage</c:v>
                </c:pt>
                <c:pt idx="1">
                  <c:v>Utilities</c:v>
                </c:pt>
                <c:pt idx="2">
                  <c:v>Insurance</c:v>
                </c:pt>
                <c:pt idx="3">
                  <c:v>Phone Bill</c:v>
                </c:pt>
                <c:pt idx="4">
                  <c:v>Internet</c:v>
                </c:pt>
                <c:pt idx="5">
                  <c:v>Subscriptions</c:v>
                </c:pt>
                <c:pt idx="6">
                  <c:v>Car Payment</c:v>
                </c:pt>
                <c:pt idx="7">
                  <c:v>Loan Payments</c:v>
                </c:pt>
                <c:pt idx="8">
                  <c:v>Groceries</c:v>
                </c:pt>
                <c:pt idx="9">
                  <c:v>Dining Out</c:v>
                </c:pt>
                <c:pt idx="10">
                  <c:v>Transportation / Gas</c:v>
                </c:pt>
                <c:pt idx="11">
                  <c:v>Entertainment</c:v>
                </c:pt>
                <c:pt idx="12">
                  <c:v>Shopping</c:v>
                </c:pt>
                <c:pt idx="13">
                  <c:v>Personal Care</c:v>
                </c:pt>
                <c:pt idx="14">
                  <c:v>Health / Medical</c:v>
                </c:pt>
                <c:pt idx="15">
                  <c:v>Pet Care</c:v>
                </c:pt>
                <c:pt idx="16">
                  <c:v>Childcare</c:v>
                </c:pt>
                <c:pt idx="17">
                  <c:v>Gifts &amp; Donations</c:v>
                </c:pt>
                <c:pt idx="18">
                  <c:v>Travel</c:v>
                </c:pt>
                <c:pt idx="19">
                  <c:v>Miscellaneous</c:v>
                </c:pt>
              </c:strCache>
            </c:strRef>
          </c:cat>
          <c:val>
            <c:numRef>
              <c:f>Dashboard!$I$12:$I$31</c:f>
              <c:numCache>
                <c:formatCode>\$#,##0;[RED]"-$"#,##0</c:formatCode>
                <c:ptCount val="20"/>
                <c:pt idx="0">
                  <c:v>1450</c:v>
                </c:pt>
                <c:pt idx="1">
                  <c:v>165.32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24.98</c:v>
                </c:pt>
                <c:pt idx="6">
                  <c:v>0</c:v>
                </c:pt>
                <c:pt idx="7">
                  <c:v>0</c:v>
                </c:pt>
                <c:pt idx="8">
                  <c:v>211.07</c:v>
                </c:pt>
                <c:pt idx="9">
                  <c:v>62.1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10</xdr:col>
      <xdr:colOff>235440</xdr:colOff>
      <xdr:row>28</xdr:row>
      <xdr:rowOff>1080</xdr:rowOff>
    </xdr:to>
    <xdr:graphicFrame>
      <xdr:nvGraphicFramePr>
        <xdr:cNvPr id="0" name="Chart 1"/>
        <xdr:cNvGraphicFramePr/>
      </xdr:nvGraphicFramePr>
      <xdr:xfrm>
        <a:off x="266760" y="259092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11</xdr:row>
      <xdr:rowOff>0</xdr:rowOff>
    </xdr:from>
    <xdr:to>
      <xdr:col>17</xdr:col>
      <xdr:colOff>87840</xdr:colOff>
      <xdr:row>28</xdr:row>
      <xdr:rowOff>1080</xdr:rowOff>
    </xdr:to>
    <xdr:graphicFrame>
      <xdr:nvGraphicFramePr>
        <xdr:cNvPr id="1" name="Chart 2"/>
        <xdr:cNvGraphicFramePr/>
      </xdr:nvGraphicFramePr>
      <xdr:xfrm>
        <a:off x="8670960" y="25909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62"/>
    <pageSetUpPr fitToPage="true"/>
  </sheetPr>
  <dimension ref="A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3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30" hidden="false" customHeight="true" outlineLevel="0" collapsed="false">
      <c r="A2" s="1"/>
      <c r="B2" s="2" t="s">
        <v>0</v>
      </c>
      <c r="C2" s="2"/>
      <c r="D2" s="1"/>
    </row>
    <row r="3" customFormat="false" ht="30" hidden="false" customHeight="true" outlineLevel="0" collapsed="false">
      <c r="A3" s="1"/>
      <c r="B3" s="2"/>
      <c r="C3" s="2"/>
      <c r="D3" s="1"/>
    </row>
    <row r="4" customFormat="false" ht="15" hidden="false" customHeight="false" outlineLevel="0" collapsed="false">
      <c r="A4" s="1"/>
      <c r="B4" s="3" t="s">
        <v>1</v>
      </c>
      <c r="C4" s="3"/>
      <c r="D4" s="1"/>
    </row>
    <row r="5" customFormat="false" ht="15" hidden="false" customHeight="false" outlineLevel="0" collapsed="false">
      <c r="A5" s="1"/>
      <c r="B5" s="1"/>
      <c r="C5" s="1"/>
      <c r="D5" s="1"/>
    </row>
    <row r="6" customFormat="false" ht="15" hidden="false" customHeight="false" outlineLevel="0" collapsed="false">
      <c r="A6" s="1"/>
      <c r="B6" s="4" t="s">
        <v>2</v>
      </c>
      <c r="C6" s="4"/>
      <c r="D6" s="1"/>
    </row>
    <row r="7" customFormat="false" ht="21.75" hidden="false" customHeight="true" outlineLevel="0" collapsed="false">
      <c r="A7" s="1"/>
      <c r="B7" s="5" t="n">
        <v>2026</v>
      </c>
      <c r="C7" s="5"/>
      <c r="D7" s="1"/>
    </row>
    <row r="8" customFormat="false" ht="15" hidden="false" customHeight="false" outlineLevel="0" collapsed="false">
      <c r="A8" s="1"/>
      <c r="B8" s="1"/>
      <c r="C8" s="1"/>
      <c r="D8" s="1"/>
    </row>
    <row r="9" customFormat="false" ht="21.75" hidden="false" customHeight="true" outlineLevel="0" collapsed="false">
      <c r="A9" s="1"/>
      <c r="B9" s="6" t="s">
        <v>3</v>
      </c>
      <c r="C9" s="6"/>
      <c r="D9" s="1"/>
    </row>
    <row r="10" customFormat="false" ht="27.75" hidden="false" customHeight="true" outlineLevel="0" collapsed="false">
      <c r="A10" s="1"/>
      <c r="B10" s="7" t="s">
        <v>4</v>
      </c>
      <c r="C10" s="8" t="s">
        <v>5</v>
      </c>
      <c r="D10" s="1"/>
    </row>
    <row r="11" customFormat="false" ht="27.75" hidden="false" customHeight="true" outlineLevel="0" collapsed="false">
      <c r="A11" s="1"/>
      <c r="B11" s="7" t="s">
        <v>6</v>
      </c>
      <c r="C11" s="8" t="s">
        <v>7</v>
      </c>
      <c r="D11" s="1"/>
    </row>
    <row r="12" customFormat="false" ht="27.75" hidden="false" customHeight="true" outlineLevel="0" collapsed="false">
      <c r="A12" s="1"/>
      <c r="B12" s="7" t="s">
        <v>8</v>
      </c>
      <c r="C12" s="8" t="s">
        <v>9</v>
      </c>
      <c r="D12" s="1"/>
    </row>
    <row r="13" customFormat="false" ht="27.75" hidden="false" customHeight="true" outlineLevel="0" collapsed="false">
      <c r="A13" s="1"/>
      <c r="B13" s="7" t="s">
        <v>10</v>
      </c>
      <c r="C13" s="8" t="s">
        <v>11</v>
      </c>
      <c r="D13" s="1"/>
    </row>
    <row r="14" customFormat="false" ht="27.75" hidden="false" customHeight="true" outlineLevel="0" collapsed="false">
      <c r="A14" s="1"/>
      <c r="B14" s="7" t="s">
        <v>12</v>
      </c>
      <c r="C14" s="8" t="s">
        <v>13</v>
      </c>
      <c r="D14" s="1"/>
    </row>
    <row r="15" customFormat="false" ht="27.75" hidden="false" customHeight="true" outlineLevel="0" collapsed="false">
      <c r="A15" s="1"/>
      <c r="B15" s="7" t="s">
        <v>14</v>
      </c>
      <c r="C15" s="8" t="s">
        <v>15</v>
      </c>
      <c r="D15" s="1"/>
    </row>
    <row r="16" customFormat="false" ht="15" hidden="false" customHeight="false" outlineLevel="0" collapsed="false">
      <c r="A16" s="1"/>
      <c r="B16" s="1"/>
      <c r="C16" s="1"/>
      <c r="D16" s="1"/>
    </row>
    <row r="17" customFormat="false" ht="21.75" hidden="false" customHeight="true" outlineLevel="0" collapsed="false">
      <c r="A17" s="1"/>
      <c r="B17" s="6" t="s">
        <v>16</v>
      </c>
      <c r="C17" s="6"/>
      <c r="D17" s="1"/>
    </row>
    <row r="18" customFormat="false" ht="25.5" hidden="false" customHeight="true" outlineLevel="0" collapsed="false">
      <c r="A18" s="1"/>
      <c r="B18" s="9" t="s">
        <v>17</v>
      </c>
      <c r="C18" s="9"/>
      <c r="D18" s="1"/>
    </row>
    <row r="19" customFormat="false" ht="25.5" hidden="false" customHeight="true" outlineLevel="0" collapsed="false">
      <c r="A19" s="1"/>
      <c r="B19" s="9" t="s">
        <v>18</v>
      </c>
      <c r="C19" s="9"/>
      <c r="D19" s="1"/>
    </row>
    <row r="20" customFormat="false" ht="25.5" hidden="false" customHeight="true" outlineLevel="0" collapsed="false">
      <c r="A20" s="1"/>
      <c r="B20" s="9" t="s">
        <v>19</v>
      </c>
      <c r="C20" s="9"/>
      <c r="D20" s="1"/>
    </row>
    <row r="21" customFormat="false" ht="25.5" hidden="false" customHeight="true" outlineLevel="0" collapsed="false">
      <c r="A21" s="1"/>
      <c r="B21" s="9" t="s">
        <v>20</v>
      </c>
      <c r="C21" s="9"/>
      <c r="D21" s="1"/>
    </row>
    <row r="22" customFormat="false" ht="25.5" hidden="false" customHeight="true" outlineLevel="0" collapsed="false">
      <c r="A22" s="1"/>
      <c r="B22" s="9" t="s">
        <v>21</v>
      </c>
      <c r="C22" s="9"/>
      <c r="D22" s="1"/>
    </row>
    <row r="23" customFormat="false" ht="15" hidden="false" customHeight="false" outlineLevel="0" collapsed="false">
      <c r="A23" s="1"/>
      <c r="B23" s="1"/>
      <c r="C23" s="1"/>
      <c r="D23" s="1"/>
    </row>
    <row r="24" customFormat="false" ht="21.75" hidden="false" customHeight="true" outlineLevel="0" collapsed="false">
      <c r="A24" s="1"/>
      <c r="B24" s="6" t="s">
        <v>22</v>
      </c>
      <c r="C24" s="6"/>
      <c r="D24" s="1"/>
    </row>
    <row r="25" customFormat="false" ht="18" hidden="false" customHeight="true" outlineLevel="0" collapsed="false">
      <c r="A25" s="1"/>
      <c r="B25" s="10"/>
      <c r="C25" s="11" t="s">
        <v>23</v>
      </c>
      <c r="D25" s="1"/>
    </row>
    <row r="26" customFormat="false" ht="18" hidden="false" customHeight="true" outlineLevel="0" collapsed="false">
      <c r="A26" s="1"/>
      <c r="B26" s="12"/>
      <c r="C26" s="11" t="s">
        <v>24</v>
      </c>
      <c r="D26" s="1"/>
    </row>
    <row r="27" customFormat="false" ht="18" hidden="false" customHeight="true" outlineLevel="0" collapsed="false">
      <c r="A27" s="1"/>
      <c r="B27" s="13"/>
      <c r="C27" s="11" t="s">
        <v>25</v>
      </c>
      <c r="D27" s="1"/>
    </row>
    <row r="28" customFormat="false" ht="18" hidden="false" customHeight="true" outlineLevel="0" collapsed="false">
      <c r="A28" s="1"/>
      <c r="B28" s="14"/>
      <c r="C28" s="11" t="s">
        <v>26</v>
      </c>
      <c r="D28" s="1"/>
    </row>
    <row r="29" customFormat="false" ht="15" hidden="false" customHeight="false" outlineLevel="0" collapsed="false">
      <c r="A29" s="1"/>
      <c r="B29" s="1"/>
      <c r="C29" s="1"/>
      <c r="D29" s="1"/>
    </row>
    <row r="30" customFormat="false" ht="15" hidden="false" customHeight="false" outlineLevel="0" collapsed="false">
      <c r="A30" s="1"/>
      <c r="B30" s="1"/>
      <c r="C30" s="1"/>
      <c r="D30" s="1"/>
    </row>
    <row r="31" customFormat="false" ht="15" hidden="false" customHeight="true" outlineLevel="0" collapsed="false">
      <c r="A31" s="1"/>
      <c r="B31" s="15" t="s">
        <v>27</v>
      </c>
      <c r="C31" s="15"/>
      <c r="D31" s="1"/>
    </row>
    <row r="32" customFormat="false" ht="15" hidden="false" customHeight="false" outlineLevel="0" collapsed="false">
      <c r="A32" s="1"/>
      <c r="B32" s="1"/>
      <c r="C32" s="1"/>
      <c r="D32" s="1"/>
    </row>
    <row r="33" customFormat="false" ht="15" hidden="false" customHeight="false" outlineLevel="0" collapsed="false">
      <c r="A33" s="1"/>
      <c r="B33" s="1"/>
      <c r="C33" s="1"/>
      <c r="D33" s="1"/>
    </row>
    <row r="34" customFormat="false" ht="15" hidden="false" customHeight="false" outlineLevel="0" collapsed="false">
      <c r="A34" s="1"/>
      <c r="B34" s="1"/>
      <c r="C34" s="1"/>
      <c r="D34" s="1"/>
    </row>
    <row r="35" customFormat="false" ht="15" hidden="false" customHeight="false" outlineLevel="0" collapsed="false">
      <c r="A35" s="1"/>
      <c r="B35" s="1"/>
      <c r="C35" s="1"/>
      <c r="D35" s="1"/>
    </row>
    <row r="36" customFormat="false" ht="15" hidden="false" customHeight="false" outlineLevel="0" collapsed="false">
      <c r="A36" s="1"/>
      <c r="B36" s="1"/>
      <c r="C36" s="1"/>
      <c r="D36" s="1"/>
    </row>
    <row r="37" customFormat="false" ht="15" hidden="false" customHeight="false" outlineLevel="0" collapsed="false">
      <c r="A37" s="1"/>
      <c r="B37" s="1"/>
      <c r="C37" s="1"/>
      <c r="D37" s="1"/>
    </row>
    <row r="38" customFormat="false" ht="15" hidden="false" customHeight="false" outlineLevel="0" collapsed="false">
      <c r="A38" s="1"/>
      <c r="B38" s="1"/>
      <c r="C38" s="1"/>
      <c r="D38" s="1"/>
    </row>
    <row r="39" customFormat="false" ht="15" hidden="false" customHeight="false" outlineLevel="0" collapsed="false">
      <c r="A39" s="1"/>
      <c r="B39" s="1"/>
      <c r="C39" s="1"/>
      <c r="D39" s="1"/>
    </row>
  </sheetData>
  <mergeCells count="13">
    <mergeCell ref="B2:C3"/>
    <mergeCell ref="B4:C4"/>
    <mergeCell ref="B6:C6"/>
    <mergeCell ref="B7:C7"/>
    <mergeCell ref="B9:C9"/>
    <mergeCell ref="B17:C17"/>
    <mergeCell ref="B18:C18"/>
    <mergeCell ref="B19:C19"/>
    <mergeCell ref="B20:C20"/>
    <mergeCell ref="B21:C21"/>
    <mergeCell ref="B22:C22"/>
    <mergeCell ref="B24:C24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20"/>
    <col collapsed="false" customWidth="true" hidden="false" outlineLevel="0" max="7" min="6" style="0" width="3"/>
    <col collapsed="false" customWidth="true" hidden="true" outlineLevel="0" max="9" min="8" style="0" width="13"/>
  </cols>
  <sheetData>
    <row r="2" customFormat="false" ht="33.75" hidden="false" customHeight="true" outlineLevel="0" collapsed="false">
      <c r="B2" s="16" t="str">
        <f aca="false">"YEARLY DASHBOARD — "&amp;Welcome!$B$7</f>
        <v>YEARLY DASHBOARD — 2026</v>
      </c>
      <c r="C2" s="16"/>
      <c r="D2" s="16"/>
      <c r="E2" s="16"/>
    </row>
    <row r="4" customFormat="false" ht="21.75" hidden="false" customHeight="true" outlineLevel="0" collapsed="false">
      <c r="B4" s="17" t="s">
        <v>28</v>
      </c>
      <c r="C4" s="18" t="s">
        <v>29</v>
      </c>
      <c r="D4" s="19" t="s">
        <v>30</v>
      </c>
      <c r="E4" s="20" t="s">
        <v>31</v>
      </c>
    </row>
    <row r="5" customFormat="false" ht="19.5" hidden="false" customHeight="true" outlineLevel="0" collapsed="false">
      <c r="B5" s="21" t="n">
        <f aca="false">'Annual Overview'!N50</f>
        <v>6850</v>
      </c>
      <c r="C5" s="21" t="n">
        <f aca="false">'Annual Overview'!N51</f>
        <v>1958.47</v>
      </c>
      <c r="D5" s="21" t="n">
        <f aca="false">'Annual Overview'!N52</f>
        <v>450</v>
      </c>
      <c r="E5" s="21" t="n">
        <f aca="false">'Annual Overview'!N53</f>
        <v>4441.53</v>
      </c>
    </row>
    <row r="6" customFormat="false" ht="24" hidden="false" customHeight="true" outlineLevel="0" collapsed="false">
      <c r="B6" s="21"/>
      <c r="C6" s="21"/>
      <c r="D6" s="21"/>
      <c r="E6" s="21"/>
    </row>
    <row r="8" customFormat="false" ht="15" hidden="false" customHeight="false" outlineLevel="0" collapsed="false">
      <c r="B8" s="22" t="s">
        <v>32</v>
      </c>
      <c r="C8" s="22"/>
      <c r="D8" s="22" t="s">
        <v>33</v>
      </c>
      <c r="E8" s="22"/>
    </row>
    <row r="9" customFormat="false" ht="15" hidden="false" customHeight="false" outlineLevel="0" collapsed="false">
      <c r="B9" s="23" t="n">
        <f aca="false">'Annual Overview'!N52/'Annual Overview'!N50</f>
        <v>0.0656934306569343</v>
      </c>
      <c r="C9" s="23"/>
      <c r="D9" s="24" t="n">
        <f aca="false">'Annual Overview'!N51/12</f>
        <v>163.205833333333</v>
      </c>
      <c r="E9" s="24"/>
    </row>
    <row r="10" customFormat="false" ht="15" hidden="false" customHeight="false" outlineLevel="0" collapsed="false">
      <c r="B10" s="23"/>
      <c r="C10" s="23"/>
      <c r="D10" s="24"/>
      <c r="E10" s="24"/>
    </row>
    <row r="11" customFormat="false" ht="15" hidden="false" customHeight="false" outlineLevel="0" collapsed="false">
      <c r="H11" s="25" t="s">
        <v>34</v>
      </c>
      <c r="I11" s="25" t="s">
        <v>35</v>
      </c>
    </row>
    <row r="12" customFormat="false" ht="15" hidden="false" customHeight="false" outlineLevel="0" collapsed="false">
      <c r="H12" s="0" t="s">
        <v>36</v>
      </c>
      <c r="I12" s="26" t="n">
        <f aca="false">'Annual Overview'!N15</f>
        <v>1450</v>
      </c>
    </row>
    <row r="13" customFormat="false" ht="15" hidden="false" customHeight="false" outlineLevel="0" collapsed="false">
      <c r="H13" s="0" t="s">
        <v>37</v>
      </c>
      <c r="I13" s="26" t="n">
        <f aca="false">'Annual Overview'!N16</f>
        <v>165.32</v>
      </c>
    </row>
    <row r="14" customFormat="false" ht="15" hidden="false" customHeight="false" outlineLevel="0" collapsed="false">
      <c r="H14" s="0" t="s">
        <v>38</v>
      </c>
      <c r="I14" s="26" t="n">
        <f aca="false">'Annual Overview'!N17</f>
        <v>0</v>
      </c>
    </row>
    <row r="15" customFormat="false" ht="15" hidden="false" customHeight="false" outlineLevel="0" collapsed="false">
      <c r="H15" s="0" t="s">
        <v>39</v>
      </c>
      <c r="I15" s="26" t="n">
        <f aca="false">'Annual Overview'!N18</f>
        <v>0</v>
      </c>
    </row>
    <row r="16" customFormat="false" ht="15" hidden="false" customHeight="false" outlineLevel="0" collapsed="false">
      <c r="H16" s="0" t="s">
        <v>40</v>
      </c>
      <c r="I16" s="26" t="n">
        <f aca="false">'Annual Overview'!N19</f>
        <v>0</v>
      </c>
    </row>
    <row r="17" customFormat="false" ht="15" hidden="false" customHeight="false" outlineLevel="0" collapsed="false">
      <c r="H17" s="0" t="s">
        <v>41</v>
      </c>
      <c r="I17" s="26" t="n">
        <f aca="false">'Annual Overview'!N20</f>
        <v>24.98</v>
      </c>
    </row>
    <row r="18" customFormat="false" ht="15" hidden="false" customHeight="false" outlineLevel="0" collapsed="false">
      <c r="H18" s="0" t="s">
        <v>42</v>
      </c>
      <c r="I18" s="26" t="n">
        <f aca="false">'Annual Overview'!N21</f>
        <v>0</v>
      </c>
    </row>
    <row r="19" customFormat="false" ht="15" hidden="false" customHeight="false" outlineLevel="0" collapsed="false">
      <c r="H19" s="0" t="s">
        <v>43</v>
      </c>
      <c r="I19" s="26" t="n">
        <f aca="false">'Annual Overview'!N22</f>
        <v>0</v>
      </c>
    </row>
    <row r="20" customFormat="false" ht="15" hidden="false" customHeight="false" outlineLevel="0" collapsed="false">
      <c r="H20" s="0" t="s">
        <v>44</v>
      </c>
      <c r="I20" s="26" t="n">
        <f aca="false">'Annual Overview'!N26</f>
        <v>211.07</v>
      </c>
    </row>
    <row r="21" customFormat="false" ht="15" hidden="false" customHeight="false" outlineLevel="0" collapsed="false">
      <c r="H21" s="0" t="s">
        <v>45</v>
      </c>
      <c r="I21" s="26" t="n">
        <f aca="false">'Annual Overview'!N27</f>
        <v>62.1</v>
      </c>
    </row>
    <row r="22" customFormat="false" ht="15" hidden="false" customHeight="false" outlineLevel="0" collapsed="false">
      <c r="H22" s="0" t="s">
        <v>46</v>
      </c>
      <c r="I22" s="26" t="n">
        <f aca="false">'Annual Overview'!N28</f>
        <v>45</v>
      </c>
    </row>
    <row r="23" customFormat="false" ht="15" hidden="false" customHeight="false" outlineLevel="0" collapsed="false">
      <c r="H23" s="0" t="s">
        <v>47</v>
      </c>
      <c r="I23" s="26" t="n">
        <f aca="false">'Annual Overview'!N29</f>
        <v>0</v>
      </c>
    </row>
    <row r="24" customFormat="false" ht="15" hidden="false" customHeight="false" outlineLevel="0" collapsed="false">
      <c r="H24" s="0" t="s">
        <v>48</v>
      </c>
      <c r="I24" s="26" t="n">
        <f aca="false">'Annual Overview'!N30</f>
        <v>0</v>
      </c>
    </row>
    <row r="25" customFormat="false" ht="15" hidden="false" customHeight="false" outlineLevel="0" collapsed="false">
      <c r="H25" s="0" t="s">
        <v>49</v>
      </c>
      <c r="I25" s="26" t="n">
        <f aca="false">'Annual Overview'!N31</f>
        <v>0</v>
      </c>
    </row>
    <row r="26" customFormat="false" ht="15" hidden="false" customHeight="false" outlineLevel="0" collapsed="false">
      <c r="H26" s="0" t="s">
        <v>50</v>
      </c>
      <c r="I26" s="26" t="n">
        <f aca="false">'Annual Overview'!N32</f>
        <v>0</v>
      </c>
    </row>
    <row r="27" customFormat="false" ht="15" hidden="false" customHeight="false" outlineLevel="0" collapsed="false">
      <c r="H27" s="0" t="s">
        <v>51</v>
      </c>
      <c r="I27" s="26" t="n">
        <f aca="false">'Annual Overview'!N33</f>
        <v>0</v>
      </c>
    </row>
    <row r="28" customFormat="false" ht="15" hidden="false" customHeight="false" outlineLevel="0" collapsed="false">
      <c r="H28" s="0" t="s">
        <v>52</v>
      </c>
      <c r="I28" s="26" t="n">
        <f aca="false">'Annual Overview'!N34</f>
        <v>0</v>
      </c>
    </row>
    <row r="29" customFormat="false" ht="15" hidden="false" customHeight="false" outlineLevel="0" collapsed="false">
      <c r="H29" s="0" t="s">
        <v>53</v>
      </c>
      <c r="I29" s="26" t="n">
        <f aca="false">'Annual Overview'!N35</f>
        <v>0</v>
      </c>
    </row>
    <row r="30" customFormat="false" ht="15" hidden="false" customHeight="false" outlineLevel="0" collapsed="false">
      <c r="H30" s="0" t="s">
        <v>54</v>
      </c>
      <c r="I30" s="26" t="n">
        <f aca="false">'Annual Overview'!N36</f>
        <v>0</v>
      </c>
    </row>
    <row r="31" customFormat="false" ht="15" hidden="false" customHeight="false" outlineLevel="0" collapsed="false">
      <c r="H31" s="0" t="s">
        <v>55</v>
      </c>
      <c r="I31" s="26" t="n">
        <f aca="false">'Annual Overview'!N37</f>
        <v>0</v>
      </c>
    </row>
  </sheetData>
  <mergeCells count="9">
    <mergeCell ref="B2:E2"/>
    <mergeCell ref="B5:B6"/>
    <mergeCell ref="C5:C6"/>
    <mergeCell ref="D5:D6"/>
    <mergeCell ref="E5:E6"/>
    <mergeCell ref="B8:C8"/>
    <mergeCell ref="D8:E8"/>
    <mergeCell ref="B9:C10"/>
    <mergeCell ref="D9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62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"/>
  </cols>
  <sheetData>
    <row r="1" customFormat="false" ht="30" hidden="false" customHeight="true" outlineLevel="0" collapsed="false">
      <c r="A1" s="27" t="str">
        <f aca="false">"JANUARY"&amp;" "&amp;Welcome!$B$7&amp;" BUDGET"</f>
        <v>JANUARY 2026 BUDGET</v>
      </c>
      <c r="B1" s="27"/>
      <c r="C1" s="27"/>
      <c r="D1" s="27"/>
    </row>
    <row r="2" customFormat="false" ht="15" hidden="false" customHeight="false" outlineLevel="0" collapsed="false">
      <c r="A2" s="28" t="s">
        <v>56</v>
      </c>
      <c r="B2" s="28"/>
      <c r="C2" s="28"/>
      <c r="D2" s="28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</row>
    <row r="5" customFormat="false" ht="18.75" hidden="false" customHeight="true" outlineLevel="0" collapsed="false">
      <c r="A5" s="30" t="s">
        <v>61</v>
      </c>
      <c r="B5" s="30"/>
      <c r="C5" s="30"/>
      <c r="D5" s="30"/>
    </row>
    <row r="6" customFormat="false" ht="15" hidden="false" customHeight="false" outlineLevel="0" collapsed="false">
      <c r="A6" s="31" t="s">
        <v>62</v>
      </c>
      <c r="B6" s="32" t="n">
        <v>6400</v>
      </c>
      <c r="C6" s="33" t="n">
        <f aca="false">SUMIFS(Transactions!$E$4:$E$400,Transactions!$C$4:$C$400,$A6,Transactions!$F$4:$F$400,1)</f>
        <v>6400</v>
      </c>
      <c r="D6" s="33" t="n">
        <f aca="false">C6-B6</f>
        <v>0</v>
      </c>
    </row>
    <row r="7" customFormat="false" ht="15" hidden="false" customHeight="false" outlineLevel="0" collapsed="false">
      <c r="A7" s="31" t="s">
        <v>63</v>
      </c>
      <c r="B7" s="32" t="n">
        <v>400</v>
      </c>
      <c r="C7" s="33" t="n">
        <f aca="false">SUMIFS(Transactions!$E$4:$E$400,Transactions!$C$4:$C$400,$A7,Transactions!$F$4:$F$400,1)</f>
        <v>450</v>
      </c>
      <c r="D7" s="33" t="n">
        <f aca="false">C7-B7</f>
        <v>50</v>
      </c>
    </row>
    <row r="8" customFormat="false" ht="15" hidden="false" customHeight="false" outlineLevel="0" collapsed="false">
      <c r="A8" s="31" t="s">
        <v>64</v>
      </c>
      <c r="B8" s="32" t="n">
        <v>0</v>
      </c>
      <c r="C8" s="33" t="n">
        <f aca="false">SUMIFS(Transactions!$E$4:$E$400,Transactions!$C$4:$C$400,$A8,Transactions!$F$4:$F$400,1)</f>
        <v>0</v>
      </c>
      <c r="D8" s="33" t="n">
        <f aca="false">C8-B8</f>
        <v>0</v>
      </c>
    </row>
    <row r="9" customFormat="false" ht="15" hidden="false" customHeight="false" outlineLevel="0" collapsed="false">
      <c r="A9" s="31" t="s">
        <v>65</v>
      </c>
      <c r="B9" s="32" t="n">
        <v>0</v>
      </c>
      <c r="C9" s="33" t="n">
        <f aca="false">SUMIFS(Transactions!$E$4:$E$400,Transactions!$C$4:$C$400,$A9,Transactions!$F$4:$F$400,1)</f>
        <v>0</v>
      </c>
      <c r="D9" s="33" t="n">
        <f aca="false">C9-B9</f>
        <v>0</v>
      </c>
    </row>
    <row r="10" customFormat="false" ht="15" hidden="false" customHeight="false" outlineLevel="0" collapsed="false">
      <c r="A10" s="31" t="s">
        <v>66</v>
      </c>
      <c r="B10" s="32" t="n">
        <v>0</v>
      </c>
      <c r="C10" s="33" t="n">
        <f aca="false">SUMIFS(Transactions!$E$4:$E$400,Transactions!$C$4:$C$400,$A10,Transactions!$F$4:$F$400,1)</f>
        <v>0</v>
      </c>
      <c r="D10" s="33" t="n">
        <f aca="false">C10-B10</f>
        <v>0</v>
      </c>
    </row>
    <row r="11" customFormat="false" ht="15" hidden="false" customHeight="false" outlineLevel="0" collapsed="false">
      <c r="A11" s="31" t="s">
        <v>67</v>
      </c>
      <c r="B11" s="32" t="n">
        <v>0</v>
      </c>
      <c r="C11" s="33" t="n">
        <f aca="false">SUMIFS(Transactions!$E$4:$E$400,Transactions!$C$4:$C$400,$A11,Transactions!$F$4:$F$400,1)</f>
        <v>0</v>
      </c>
      <c r="D11" s="33" t="n">
        <f aca="false">C11-B11</f>
        <v>0</v>
      </c>
    </row>
    <row r="12" customFormat="false" ht="15" hidden="false" customHeight="false" outlineLevel="0" collapsed="false">
      <c r="A12" s="34" t="s">
        <v>68</v>
      </c>
      <c r="B12" s="35" t="n">
        <f aca="false">SUM(B6:B11)</f>
        <v>6800</v>
      </c>
      <c r="C12" s="35" t="n">
        <f aca="false">SUM(C6:C11)</f>
        <v>6850</v>
      </c>
      <c r="D12" s="35" t="n">
        <f aca="false">SUM(D6:D11)</f>
        <v>50</v>
      </c>
    </row>
    <row r="14" customFormat="false" ht="18.75" hidden="false" customHeight="true" outlineLevel="0" collapsed="false">
      <c r="A14" s="36" t="s">
        <v>69</v>
      </c>
      <c r="B14" s="36"/>
      <c r="C14" s="36"/>
      <c r="D14" s="36"/>
    </row>
    <row r="15" customFormat="false" ht="15" hidden="false" customHeight="false" outlineLevel="0" collapsed="false">
      <c r="A15" s="37" t="s">
        <v>36</v>
      </c>
      <c r="B15" s="32" t="n">
        <v>1450</v>
      </c>
      <c r="C15" s="38" t="n">
        <f aca="false">SUMIFS(Transactions!$E$4:$E$400,Transactions!$C$4:$C$400,$A15,Transactions!$F$4:$F$400,1)</f>
        <v>1450</v>
      </c>
      <c r="D15" s="38" t="n">
        <f aca="false">C15-B15</f>
        <v>0</v>
      </c>
    </row>
    <row r="16" customFormat="false" ht="15" hidden="false" customHeight="false" outlineLevel="0" collapsed="false">
      <c r="A16" s="37" t="s">
        <v>37</v>
      </c>
      <c r="B16" s="32" t="n">
        <v>180</v>
      </c>
      <c r="C16" s="38" t="n">
        <f aca="false">SUMIFS(Transactions!$E$4:$E$400,Transactions!$C$4:$C$400,$A16,Transactions!$F$4:$F$400,1)</f>
        <v>165.32</v>
      </c>
      <c r="D16" s="38" t="n">
        <f aca="false">C16-B16</f>
        <v>-14.68</v>
      </c>
    </row>
    <row r="17" customFormat="false" ht="15" hidden="false" customHeight="false" outlineLevel="0" collapsed="false">
      <c r="A17" s="37" t="s">
        <v>38</v>
      </c>
      <c r="B17" s="32" t="n">
        <v>120</v>
      </c>
      <c r="C17" s="38" t="n">
        <f aca="false">SUMIFS(Transactions!$E$4:$E$400,Transactions!$C$4:$C$400,$A17,Transactions!$F$4:$F$400,1)</f>
        <v>0</v>
      </c>
      <c r="D17" s="38" t="n">
        <f aca="false">C17-B17</f>
        <v>-120</v>
      </c>
    </row>
    <row r="18" customFormat="false" ht="15" hidden="false" customHeight="false" outlineLevel="0" collapsed="false">
      <c r="A18" s="37" t="s">
        <v>39</v>
      </c>
      <c r="B18" s="32" t="n">
        <v>65</v>
      </c>
      <c r="C18" s="38" t="n">
        <f aca="false">SUMIFS(Transactions!$E$4:$E$400,Transactions!$C$4:$C$400,$A18,Transactions!$F$4:$F$400,1)</f>
        <v>0</v>
      </c>
      <c r="D18" s="38" t="n">
        <f aca="false">C18-B18</f>
        <v>-65</v>
      </c>
    </row>
    <row r="19" customFormat="false" ht="15" hidden="false" customHeight="false" outlineLevel="0" collapsed="false">
      <c r="A19" s="37" t="s">
        <v>40</v>
      </c>
      <c r="B19" s="32" t="n">
        <v>60</v>
      </c>
      <c r="C19" s="38" t="n">
        <f aca="false">SUMIFS(Transactions!$E$4:$E$400,Transactions!$C$4:$C$400,$A19,Transactions!$F$4:$F$400,1)</f>
        <v>0</v>
      </c>
      <c r="D19" s="38" t="n">
        <f aca="false">C19-B19</f>
        <v>-60</v>
      </c>
    </row>
    <row r="20" customFormat="false" ht="15" hidden="false" customHeight="false" outlineLevel="0" collapsed="false">
      <c r="A20" s="37" t="s">
        <v>41</v>
      </c>
      <c r="B20" s="32" t="n">
        <v>35</v>
      </c>
      <c r="C20" s="38" t="n">
        <f aca="false">SUMIFS(Transactions!$E$4:$E$400,Transactions!$C$4:$C$400,$A20,Transactions!$F$4:$F$400,1)</f>
        <v>24.98</v>
      </c>
      <c r="D20" s="38" t="n">
        <f aca="false">C20-B20</f>
        <v>-10.02</v>
      </c>
    </row>
    <row r="21" customFormat="false" ht="15" hidden="false" customHeight="false" outlineLevel="0" collapsed="false">
      <c r="A21" s="37" t="s">
        <v>42</v>
      </c>
      <c r="B21" s="32" t="n">
        <v>320</v>
      </c>
      <c r="C21" s="38" t="n">
        <f aca="false">SUMIFS(Transactions!$E$4:$E$400,Transactions!$C$4:$C$400,$A21,Transactions!$F$4:$F$400,1)</f>
        <v>0</v>
      </c>
      <c r="D21" s="38" t="n">
        <f aca="false">C21-B21</f>
        <v>-320</v>
      </c>
    </row>
    <row r="22" customFormat="false" ht="15" hidden="false" customHeight="false" outlineLevel="0" collapsed="false">
      <c r="A22" s="37" t="s">
        <v>43</v>
      </c>
      <c r="B22" s="32" t="n">
        <v>150</v>
      </c>
      <c r="C22" s="38" t="n">
        <f aca="false">SUMIFS(Transactions!$E$4:$E$400,Transactions!$C$4:$C$400,$A22,Transactions!$F$4:$F$400,1)</f>
        <v>0</v>
      </c>
      <c r="D22" s="38" t="n">
        <f aca="false">C22-B22</f>
        <v>-150</v>
      </c>
    </row>
    <row r="23" customFormat="false" ht="15" hidden="false" customHeight="false" outlineLevel="0" collapsed="false">
      <c r="A23" s="34" t="s">
        <v>70</v>
      </c>
      <c r="B23" s="35" t="n">
        <f aca="false">SUM(B15:B22)</f>
        <v>2380</v>
      </c>
      <c r="C23" s="35" t="n">
        <f aca="false">SUM(C15:C22)</f>
        <v>1640.3</v>
      </c>
      <c r="D23" s="35" t="n">
        <f aca="false">SUM(D15:D22)</f>
        <v>-739.7</v>
      </c>
    </row>
    <row r="25" customFormat="false" ht="18.75" hidden="false" customHeight="true" outlineLevel="0" collapsed="false">
      <c r="A25" s="39" t="s">
        <v>71</v>
      </c>
      <c r="B25" s="39"/>
      <c r="C25" s="39"/>
      <c r="D25" s="39"/>
    </row>
    <row r="26" customFormat="false" ht="15" hidden="false" customHeight="false" outlineLevel="0" collapsed="false">
      <c r="A26" s="40" t="s">
        <v>44</v>
      </c>
      <c r="B26" s="32" t="n">
        <v>450</v>
      </c>
      <c r="C26" s="41" t="n">
        <f aca="false">SUMIFS(Transactions!$E$4:$E$400,Transactions!$C$4:$C$400,$A26,Transactions!$F$4:$F$400,1)</f>
        <v>211.07</v>
      </c>
      <c r="D26" s="41" t="n">
        <f aca="false">C26-B26</f>
        <v>-238.93</v>
      </c>
    </row>
    <row r="27" customFormat="false" ht="15" hidden="false" customHeight="false" outlineLevel="0" collapsed="false">
      <c r="A27" s="40" t="s">
        <v>45</v>
      </c>
      <c r="B27" s="32" t="n">
        <v>150</v>
      </c>
      <c r="C27" s="41" t="n">
        <f aca="false">SUMIFS(Transactions!$E$4:$E$400,Transactions!$C$4:$C$400,$A27,Transactions!$F$4:$F$400,1)</f>
        <v>62.1</v>
      </c>
      <c r="D27" s="41" t="n">
        <f aca="false">C27-B27</f>
        <v>-87.9</v>
      </c>
    </row>
    <row r="28" customFormat="false" ht="15" hidden="false" customHeight="false" outlineLevel="0" collapsed="false">
      <c r="A28" s="40" t="s">
        <v>46</v>
      </c>
      <c r="B28" s="32" t="n">
        <v>120</v>
      </c>
      <c r="C28" s="41" t="n">
        <f aca="false">SUMIFS(Transactions!$E$4:$E$400,Transactions!$C$4:$C$400,$A28,Transactions!$F$4:$F$400,1)</f>
        <v>45</v>
      </c>
      <c r="D28" s="41" t="n">
        <f aca="false">C28-B28</f>
        <v>-75</v>
      </c>
    </row>
    <row r="29" customFormat="false" ht="15" hidden="false" customHeight="false" outlineLevel="0" collapsed="false">
      <c r="A29" s="40" t="s">
        <v>47</v>
      </c>
      <c r="B29" s="32" t="n">
        <v>80</v>
      </c>
      <c r="C29" s="41" t="n">
        <f aca="false">SUMIFS(Transactions!$E$4:$E$400,Transactions!$C$4:$C$400,$A29,Transactions!$F$4:$F$400,1)</f>
        <v>0</v>
      </c>
      <c r="D29" s="41" t="n">
        <f aca="false">C29-B29</f>
        <v>-80</v>
      </c>
    </row>
    <row r="30" customFormat="false" ht="15" hidden="false" customHeight="false" outlineLevel="0" collapsed="false">
      <c r="A30" s="40" t="s">
        <v>48</v>
      </c>
      <c r="B30" s="32" t="n">
        <v>100</v>
      </c>
      <c r="C30" s="41" t="n">
        <f aca="false">SUMIFS(Transactions!$E$4:$E$400,Transactions!$C$4:$C$400,$A30,Transactions!$F$4:$F$400,1)</f>
        <v>0</v>
      </c>
      <c r="D30" s="41" t="n">
        <f aca="false">C30-B30</f>
        <v>-100</v>
      </c>
    </row>
    <row r="31" customFormat="false" ht="15" hidden="false" customHeight="false" outlineLevel="0" collapsed="false">
      <c r="A31" s="40" t="s">
        <v>49</v>
      </c>
      <c r="B31" s="32" t="n">
        <v>50</v>
      </c>
      <c r="C31" s="41" t="n">
        <f aca="false">SUMIFS(Transactions!$E$4:$E$400,Transactions!$C$4:$C$400,$A31,Transactions!$F$4:$F$400,1)</f>
        <v>0</v>
      </c>
      <c r="D31" s="41" t="n">
        <f aca="false">C31-B31</f>
        <v>-50</v>
      </c>
    </row>
    <row r="32" customFormat="false" ht="15" hidden="false" customHeight="false" outlineLevel="0" collapsed="false">
      <c r="A32" s="40" t="s">
        <v>50</v>
      </c>
      <c r="B32" s="32" t="n">
        <v>60</v>
      </c>
      <c r="C32" s="41" t="n">
        <f aca="false">SUMIFS(Transactions!$E$4:$E$400,Transactions!$C$4:$C$400,$A32,Transactions!$F$4:$F$400,1)</f>
        <v>0</v>
      </c>
      <c r="D32" s="41" t="n">
        <f aca="false">C32-B32</f>
        <v>-60</v>
      </c>
    </row>
    <row r="33" customFormat="false" ht="15" hidden="false" customHeight="false" outlineLevel="0" collapsed="false">
      <c r="A33" s="40" t="s">
        <v>51</v>
      </c>
      <c r="B33" s="32" t="n">
        <v>40</v>
      </c>
      <c r="C33" s="41" t="n">
        <f aca="false">SUMIFS(Transactions!$E$4:$E$400,Transactions!$C$4:$C$400,$A33,Transactions!$F$4:$F$400,1)</f>
        <v>0</v>
      </c>
      <c r="D33" s="41" t="n">
        <f aca="false">C33-B33</f>
        <v>-40</v>
      </c>
    </row>
    <row r="34" customFormat="false" ht="15" hidden="false" customHeight="false" outlineLevel="0" collapsed="false">
      <c r="A34" s="40" t="s">
        <v>52</v>
      </c>
      <c r="B34" s="32" t="n">
        <v>0</v>
      </c>
      <c r="C34" s="41" t="n">
        <f aca="false">SUMIFS(Transactions!$E$4:$E$400,Transactions!$C$4:$C$400,$A34,Transactions!$F$4:$F$400,1)</f>
        <v>0</v>
      </c>
      <c r="D34" s="41" t="n">
        <f aca="false">C34-B34</f>
        <v>0</v>
      </c>
    </row>
    <row r="35" customFormat="false" ht="15" hidden="false" customHeight="false" outlineLevel="0" collapsed="false">
      <c r="A35" s="40" t="s">
        <v>53</v>
      </c>
      <c r="B35" s="32" t="n">
        <v>40</v>
      </c>
      <c r="C35" s="41" t="n">
        <f aca="false">SUMIFS(Transactions!$E$4:$E$400,Transactions!$C$4:$C$400,$A35,Transactions!$F$4:$F$400,1)</f>
        <v>0</v>
      </c>
      <c r="D35" s="41" t="n">
        <f aca="false">C35-B35</f>
        <v>-40</v>
      </c>
    </row>
    <row r="36" customFormat="false" ht="15" hidden="false" customHeight="false" outlineLevel="0" collapsed="false">
      <c r="A36" s="40" t="s">
        <v>54</v>
      </c>
      <c r="B36" s="32" t="n">
        <v>0</v>
      </c>
      <c r="C36" s="41" t="n">
        <f aca="false">SUMIFS(Transactions!$E$4:$E$400,Transactions!$C$4:$C$400,$A36,Transactions!$F$4:$F$400,1)</f>
        <v>0</v>
      </c>
      <c r="D36" s="41" t="n">
        <f aca="false">C36-B36</f>
        <v>0</v>
      </c>
    </row>
    <row r="37" customFormat="false" ht="15" hidden="false" customHeight="false" outlineLevel="0" collapsed="false">
      <c r="A37" s="40" t="s">
        <v>55</v>
      </c>
      <c r="B37" s="32" t="n">
        <v>50</v>
      </c>
      <c r="C37" s="41" t="n">
        <f aca="false">SUMIFS(Transactions!$E$4:$E$400,Transactions!$C$4:$C$400,$A37,Transactions!$F$4:$F$400,1)</f>
        <v>0</v>
      </c>
      <c r="D37" s="41" t="n">
        <f aca="false">C37-B37</f>
        <v>-50</v>
      </c>
    </row>
    <row r="38" customFormat="false" ht="15" hidden="false" customHeight="false" outlineLevel="0" collapsed="false">
      <c r="A38" s="34" t="s">
        <v>72</v>
      </c>
      <c r="B38" s="35" t="n">
        <f aca="false">SUM(B26:B37)</f>
        <v>1140</v>
      </c>
      <c r="C38" s="35" t="n">
        <f aca="false">SUM(C26:C37)</f>
        <v>318.17</v>
      </c>
      <c r="D38" s="35" t="n">
        <f aca="false">SUM(D26:D37)</f>
        <v>-821.83</v>
      </c>
    </row>
    <row r="40" customFormat="false" ht="18.75" hidden="false" customHeight="true" outlineLevel="0" collapsed="false">
      <c r="A40" s="42" t="s">
        <v>73</v>
      </c>
      <c r="B40" s="42"/>
      <c r="C40" s="42"/>
      <c r="D40" s="42"/>
    </row>
    <row r="41" customFormat="false" ht="15" hidden="false" customHeight="false" outlineLevel="0" collapsed="false">
      <c r="A41" s="43" t="s">
        <v>74</v>
      </c>
      <c r="B41" s="32" t="n">
        <v>300</v>
      </c>
      <c r="C41" s="44" t="n">
        <f aca="false">SUMIFS(Transactions!$E$4:$E$400,Transactions!$C$4:$C$400,$A41,Transactions!$F$4:$F$400,1)</f>
        <v>300</v>
      </c>
      <c r="D41" s="44" t="n">
        <f aca="false">C41-B41</f>
        <v>0</v>
      </c>
    </row>
    <row r="42" customFormat="false" ht="15" hidden="false" customHeight="false" outlineLevel="0" collapsed="false">
      <c r="A42" s="43" t="s">
        <v>75</v>
      </c>
      <c r="B42" s="32" t="n">
        <v>200</v>
      </c>
      <c r="C42" s="44" t="n">
        <f aca="false">SUMIFS(Transactions!$E$4:$E$400,Transactions!$C$4:$C$400,$A42,Transactions!$F$4:$F$400,1)</f>
        <v>0</v>
      </c>
      <c r="D42" s="44" t="n">
        <f aca="false">C42-B42</f>
        <v>-200</v>
      </c>
    </row>
    <row r="43" customFormat="false" ht="15" hidden="false" customHeight="false" outlineLevel="0" collapsed="false">
      <c r="A43" s="43" t="s">
        <v>76</v>
      </c>
      <c r="B43" s="32" t="n">
        <v>0</v>
      </c>
      <c r="C43" s="44" t="n">
        <f aca="false">SUMIFS(Transactions!$E$4:$E$400,Transactions!$C$4:$C$400,$A43,Transactions!$F$4:$F$400,1)</f>
        <v>0</v>
      </c>
      <c r="D43" s="44" t="n">
        <f aca="false">C43-B43</f>
        <v>0</v>
      </c>
    </row>
    <row r="44" customFormat="false" ht="15" hidden="false" customHeight="false" outlineLevel="0" collapsed="false">
      <c r="A44" s="43" t="s">
        <v>77</v>
      </c>
      <c r="B44" s="32" t="n">
        <v>150</v>
      </c>
      <c r="C44" s="44" t="n">
        <f aca="false">SUMIFS(Transactions!$E$4:$E$400,Transactions!$C$4:$C$400,$A44,Transactions!$F$4:$F$400,1)</f>
        <v>150</v>
      </c>
      <c r="D44" s="44" t="n">
        <f aca="false">C44-B44</f>
        <v>0</v>
      </c>
    </row>
    <row r="45" customFormat="false" ht="15" hidden="false" customHeight="false" outlineLevel="0" collapsed="false">
      <c r="A45" s="43" t="s">
        <v>78</v>
      </c>
      <c r="B45" s="32" t="n">
        <v>50</v>
      </c>
      <c r="C45" s="44" t="n">
        <f aca="false">SUMIFS(Transactions!$E$4:$E$400,Transactions!$C$4:$C$400,$A45,Transactions!$F$4:$F$400,1)</f>
        <v>0</v>
      </c>
      <c r="D45" s="44" t="n">
        <f aca="false">C45-B45</f>
        <v>-50</v>
      </c>
    </row>
    <row r="46" customFormat="false" ht="15" hidden="false" customHeight="false" outlineLevel="0" collapsed="false">
      <c r="A46" s="43" t="s">
        <v>79</v>
      </c>
      <c r="B46" s="32" t="n">
        <v>0</v>
      </c>
      <c r="C46" s="44" t="n">
        <f aca="false">SUMIFS(Transactions!$E$4:$E$400,Transactions!$C$4:$C$400,$A46,Transactions!$F$4:$F$400,1)</f>
        <v>0</v>
      </c>
      <c r="D46" s="44" t="n">
        <f aca="false">C46-B46</f>
        <v>0</v>
      </c>
    </row>
    <row r="47" customFormat="false" ht="15" hidden="false" customHeight="false" outlineLevel="0" collapsed="false">
      <c r="A47" s="34" t="s">
        <v>80</v>
      </c>
      <c r="B47" s="35" t="n">
        <f aca="false">SUM(B41:B46)</f>
        <v>700</v>
      </c>
      <c r="C47" s="35" t="n">
        <f aca="false">SUM(C41:C46)</f>
        <v>450</v>
      </c>
      <c r="D47" s="35" t="n">
        <f aca="false">SUM(D41:D46)</f>
        <v>-250</v>
      </c>
    </row>
    <row r="49" customFormat="false" ht="18.75" hidden="false" customHeight="true" outlineLevel="0" collapsed="false">
      <c r="A49" s="45" t="s">
        <v>81</v>
      </c>
      <c r="B49" s="45"/>
      <c r="C49" s="45"/>
      <c r="D49" s="45"/>
    </row>
    <row r="50" customFormat="false" ht="15" hidden="false" customHeight="false" outlineLevel="0" collapsed="false">
      <c r="A50" s="46" t="s">
        <v>68</v>
      </c>
      <c r="B50" s="47" t="n">
        <f aca="false">B12</f>
        <v>6800</v>
      </c>
      <c r="C50" s="47" t="n">
        <f aca="false">C12</f>
        <v>6850</v>
      </c>
      <c r="D50" s="47" t="n">
        <f aca="false">C50-B50</f>
        <v>50</v>
      </c>
    </row>
    <row r="51" customFormat="false" ht="15" hidden="false" customHeight="false" outlineLevel="0" collapsed="false">
      <c r="A51" s="46" t="s">
        <v>82</v>
      </c>
      <c r="B51" s="47" t="n">
        <f aca="false">B23+B38</f>
        <v>3520</v>
      </c>
      <c r="C51" s="47" t="n">
        <f aca="false">C23+C38</f>
        <v>1958.47</v>
      </c>
      <c r="D51" s="47" t="n">
        <f aca="false">C51-B51</f>
        <v>-1561.53</v>
      </c>
    </row>
    <row r="52" customFormat="false" ht="15" hidden="false" customHeight="false" outlineLevel="0" collapsed="false">
      <c r="A52" s="46" t="s">
        <v>83</v>
      </c>
      <c r="B52" s="47" t="n">
        <f aca="false">B47</f>
        <v>700</v>
      </c>
      <c r="C52" s="47" t="n">
        <f aca="false">C47</f>
        <v>450</v>
      </c>
      <c r="D52" s="47" t="n">
        <f aca="false">C52-B52</f>
        <v>-250</v>
      </c>
    </row>
    <row r="53" customFormat="false" ht="15" hidden="false" customHeight="false" outlineLevel="0" collapsed="false">
      <c r="A53" s="48" t="s">
        <v>84</v>
      </c>
      <c r="B53" s="49" t="n">
        <f aca="false">B50-B51-B52</f>
        <v>2580</v>
      </c>
      <c r="C53" s="49" t="n">
        <f aca="false">C50-C51-C52</f>
        <v>4441.53</v>
      </c>
      <c r="D53" s="49" t="n">
        <f aca="false">C53-B53</f>
        <v>1861.53</v>
      </c>
    </row>
  </sheetData>
  <mergeCells count="7">
    <mergeCell ref="A1:D1"/>
    <mergeCell ref="A2:D2"/>
    <mergeCell ref="A5:D5"/>
    <mergeCell ref="A14:D14"/>
    <mergeCell ref="A25:D25"/>
    <mergeCell ref="A40:D40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"/>
  </cols>
  <sheetData>
    <row r="1" customFormat="false" ht="30" hidden="false" customHeight="true" outlineLevel="0" collapsed="false">
      <c r="A1" s="27" t="str">
        <f aca="false">"FEBRUARY"&amp;" "&amp;Welcome!$B$7&amp;" BUDGET"</f>
        <v>FEBRUARY 2026 BUDGET</v>
      </c>
      <c r="B1" s="27"/>
      <c r="C1" s="27"/>
      <c r="D1" s="27"/>
    </row>
    <row r="2" customFormat="false" ht="15" hidden="false" customHeight="false" outlineLevel="0" collapsed="false">
      <c r="A2" s="28" t="s">
        <v>56</v>
      </c>
      <c r="B2" s="28"/>
      <c r="C2" s="28"/>
      <c r="D2" s="28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</row>
    <row r="5" customFormat="false" ht="18.75" hidden="false" customHeight="true" outlineLevel="0" collapsed="false">
      <c r="A5" s="30" t="s">
        <v>61</v>
      </c>
      <c r="B5" s="30"/>
      <c r="C5" s="30"/>
      <c r="D5" s="30"/>
    </row>
    <row r="6" customFormat="false" ht="15" hidden="false" customHeight="false" outlineLevel="0" collapsed="false">
      <c r="A6" s="31" t="s">
        <v>62</v>
      </c>
      <c r="B6" s="32" t="n">
        <v>0</v>
      </c>
      <c r="C6" s="33" t="n">
        <f aca="false">SUMIFS(Transactions!$E$4:$E$400,Transactions!$C$4:$C$400,$A6,Transactions!$F$4:$F$400,2)</f>
        <v>0</v>
      </c>
      <c r="D6" s="33" t="n">
        <f aca="false">C6-B6</f>
        <v>0</v>
      </c>
    </row>
    <row r="7" customFormat="false" ht="15" hidden="false" customHeight="false" outlineLevel="0" collapsed="false">
      <c r="A7" s="31" t="s">
        <v>63</v>
      </c>
      <c r="B7" s="32" t="n">
        <v>0</v>
      </c>
      <c r="C7" s="33" t="n">
        <f aca="false">SUMIFS(Transactions!$E$4:$E$400,Transactions!$C$4:$C$400,$A7,Transactions!$F$4:$F$400,2)</f>
        <v>0</v>
      </c>
      <c r="D7" s="33" t="n">
        <f aca="false">C7-B7</f>
        <v>0</v>
      </c>
    </row>
    <row r="8" customFormat="false" ht="15" hidden="false" customHeight="false" outlineLevel="0" collapsed="false">
      <c r="A8" s="31" t="s">
        <v>64</v>
      </c>
      <c r="B8" s="32" t="n">
        <v>0</v>
      </c>
      <c r="C8" s="33" t="n">
        <f aca="false">SUMIFS(Transactions!$E$4:$E$400,Transactions!$C$4:$C$400,$A8,Transactions!$F$4:$F$400,2)</f>
        <v>0</v>
      </c>
      <c r="D8" s="33" t="n">
        <f aca="false">C8-B8</f>
        <v>0</v>
      </c>
    </row>
    <row r="9" customFormat="false" ht="15" hidden="false" customHeight="false" outlineLevel="0" collapsed="false">
      <c r="A9" s="31" t="s">
        <v>65</v>
      </c>
      <c r="B9" s="32" t="n">
        <v>0</v>
      </c>
      <c r="C9" s="33" t="n">
        <f aca="false">SUMIFS(Transactions!$E$4:$E$400,Transactions!$C$4:$C$400,$A9,Transactions!$F$4:$F$400,2)</f>
        <v>0</v>
      </c>
      <c r="D9" s="33" t="n">
        <f aca="false">C9-B9</f>
        <v>0</v>
      </c>
    </row>
    <row r="10" customFormat="false" ht="15" hidden="false" customHeight="false" outlineLevel="0" collapsed="false">
      <c r="A10" s="31" t="s">
        <v>66</v>
      </c>
      <c r="B10" s="32" t="n">
        <v>0</v>
      </c>
      <c r="C10" s="33" t="n">
        <f aca="false">SUMIFS(Transactions!$E$4:$E$400,Transactions!$C$4:$C$400,$A10,Transactions!$F$4:$F$400,2)</f>
        <v>0</v>
      </c>
      <c r="D10" s="33" t="n">
        <f aca="false">C10-B10</f>
        <v>0</v>
      </c>
    </row>
    <row r="11" customFormat="false" ht="15" hidden="false" customHeight="false" outlineLevel="0" collapsed="false">
      <c r="A11" s="31" t="s">
        <v>67</v>
      </c>
      <c r="B11" s="32" t="n">
        <v>0</v>
      </c>
      <c r="C11" s="33" t="n">
        <f aca="false">SUMIFS(Transactions!$E$4:$E$400,Transactions!$C$4:$C$400,$A11,Transactions!$F$4:$F$400,2)</f>
        <v>0</v>
      </c>
      <c r="D11" s="33" t="n">
        <f aca="false">C11-B11</f>
        <v>0</v>
      </c>
    </row>
    <row r="12" customFormat="false" ht="15" hidden="false" customHeight="false" outlineLevel="0" collapsed="false">
      <c r="A12" s="34" t="s">
        <v>68</v>
      </c>
      <c r="B12" s="35" t="n">
        <f aca="false">SUM(B6:B11)</f>
        <v>0</v>
      </c>
      <c r="C12" s="35" t="n">
        <f aca="false">SUM(C6:C11)</f>
        <v>0</v>
      </c>
      <c r="D12" s="35" t="n">
        <f aca="false">SUM(D6:D11)</f>
        <v>0</v>
      </c>
    </row>
    <row r="14" customFormat="false" ht="18.75" hidden="false" customHeight="true" outlineLevel="0" collapsed="false">
      <c r="A14" s="36" t="s">
        <v>69</v>
      </c>
      <c r="B14" s="36"/>
      <c r="C14" s="36"/>
      <c r="D14" s="36"/>
    </row>
    <row r="15" customFormat="false" ht="15" hidden="false" customHeight="false" outlineLevel="0" collapsed="false">
      <c r="A15" s="37" t="s">
        <v>36</v>
      </c>
      <c r="B15" s="32" t="n">
        <v>0</v>
      </c>
      <c r="C15" s="38" t="n">
        <f aca="false">SUMIFS(Transactions!$E$4:$E$400,Transactions!$C$4:$C$400,$A15,Transactions!$F$4:$F$400,2)</f>
        <v>0</v>
      </c>
      <c r="D15" s="38" t="n">
        <f aca="false">C15-B15</f>
        <v>0</v>
      </c>
    </row>
    <row r="16" customFormat="false" ht="15" hidden="false" customHeight="false" outlineLevel="0" collapsed="false">
      <c r="A16" s="37" t="s">
        <v>37</v>
      </c>
      <c r="B16" s="32" t="n">
        <v>0</v>
      </c>
      <c r="C16" s="38" t="n">
        <f aca="false">SUMIFS(Transactions!$E$4:$E$400,Transactions!$C$4:$C$400,$A16,Transactions!$F$4:$F$400,2)</f>
        <v>0</v>
      </c>
      <c r="D16" s="38" t="n">
        <f aca="false">C16-B16</f>
        <v>0</v>
      </c>
    </row>
    <row r="17" customFormat="false" ht="15" hidden="false" customHeight="false" outlineLevel="0" collapsed="false">
      <c r="A17" s="37" t="s">
        <v>38</v>
      </c>
      <c r="B17" s="32" t="n">
        <v>0</v>
      </c>
      <c r="C17" s="38" t="n">
        <f aca="false">SUMIFS(Transactions!$E$4:$E$400,Transactions!$C$4:$C$400,$A17,Transactions!$F$4:$F$400,2)</f>
        <v>0</v>
      </c>
      <c r="D17" s="38" t="n">
        <f aca="false">C17-B17</f>
        <v>0</v>
      </c>
    </row>
    <row r="18" customFormat="false" ht="15" hidden="false" customHeight="false" outlineLevel="0" collapsed="false">
      <c r="A18" s="37" t="s">
        <v>39</v>
      </c>
      <c r="B18" s="32" t="n">
        <v>0</v>
      </c>
      <c r="C18" s="38" t="n">
        <f aca="false">SUMIFS(Transactions!$E$4:$E$400,Transactions!$C$4:$C$400,$A18,Transactions!$F$4:$F$400,2)</f>
        <v>0</v>
      </c>
      <c r="D18" s="38" t="n">
        <f aca="false">C18-B18</f>
        <v>0</v>
      </c>
    </row>
    <row r="19" customFormat="false" ht="15" hidden="false" customHeight="false" outlineLevel="0" collapsed="false">
      <c r="A19" s="37" t="s">
        <v>40</v>
      </c>
      <c r="B19" s="32" t="n">
        <v>0</v>
      </c>
      <c r="C19" s="38" t="n">
        <f aca="false">SUMIFS(Transactions!$E$4:$E$400,Transactions!$C$4:$C$400,$A19,Transactions!$F$4:$F$400,2)</f>
        <v>0</v>
      </c>
      <c r="D19" s="38" t="n">
        <f aca="false">C19-B19</f>
        <v>0</v>
      </c>
    </row>
    <row r="20" customFormat="false" ht="15" hidden="false" customHeight="false" outlineLevel="0" collapsed="false">
      <c r="A20" s="37" t="s">
        <v>41</v>
      </c>
      <c r="B20" s="32" t="n">
        <v>0</v>
      </c>
      <c r="C20" s="38" t="n">
        <f aca="false">SUMIFS(Transactions!$E$4:$E$400,Transactions!$C$4:$C$400,$A20,Transactions!$F$4:$F$400,2)</f>
        <v>0</v>
      </c>
      <c r="D20" s="38" t="n">
        <f aca="false">C20-B20</f>
        <v>0</v>
      </c>
    </row>
    <row r="21" customFormat="false" ht="15" hidden="false" customHeight="false" outlineLevel="0" collapsed="false">
      <c r="A21" s="37" t="s">
        <v>42</v>
      </c>
      <c r="B21" s="32" t="n">
        <v>0</v>
      </c>
      <c r="C21" s="38" t="n">
        <f aca="false">SUMIFS(Transactions!$E$4:$E$400,Transactions!$C$4:$C$400,$A21,Transactions!$F$4:$F$400,2)</f>
        <v>0</v>
      </c>
      <c r="D21" s="38" t="n">
        <f aca="false">C21-B21</f>
        <v>0</v>
      </c>
    </row>
    <row r="22" customFormat="false" ht="15" hidden="false" customHeight="false" outlineLevel="0" collapsed="false">
      <c r="A22" s="37" t="s">
        <v>43</v>
      </c>
      <c r="B22" s="32" t="n">
        <v>0</v>
      </c>
      <c r="C22" s="38" t="n">
        <f aca="false">SUMIFS(Transactions!$E$4:$E$400,Transactions!$C$4:$C$400,$A22,Transactions!$F$4:$F$400,2)</f>
        <v>0</v>
      </c>
      <c r="D22" s="38" t="n">
        <f aca="false">C22-B22</f>
        <v>0</v>
      </c>
    </row>
    <row r="23" customFormat="false" ht="15" hidden="false" customHeight="false" outlineLevel="0" collapsed="false">
      <c r="A23" s="34" t="s">
        <v>70</v>
      </c>
      <c r="B23" s="35" t="n">
        <f aca="false">SUM(B15:B22)</f>
        <v>0</v>
      </c>
      <c r="C23" s="35" t="n">
        <f aca="false">SUM(C15:C22)</f>
        <v>0</v>
      </c>
      <c r="D23" s="35" t="n">
        <f aca="false">SUM(D15:D22)</f>
        <v>0</v>
      </c>
    </row>
    <row r="25" customFormat="false" ht="18.75" hidden="false" customHeight="true" outlineLevel="0" collapsed="false">
      <c r="A25" s="39" t="s">
        <v>71</v>
      </c>
      <c r="B25" s="39"/>
      <c r="C25" s="39"/>
      <c r="D25" s="39"/>
    </row>
    <row r="26" customFormat="false" ht="15" hidden="false" customHeight="false" outlineLevel="0" collapsed="false">
      <c r="A26" s="40" t="s">
        <v>44</v>
      </c>
      <c r="B26" s="32" t="n">
        <v>0</v>
      </c>
      <c r="C26" s="41" t="n">
        <f aca="false">SUMIFS(Transactions!$E$4:$E$400,Transactions!$C$4:$C$400,$A26,Transactions!$F$4:$F$400,2)</f>
        <v>0</v>
      </c>
      <c r="D26" s="41" t="n">
        <f aca="false">C26-B26</f>
        <v>0</v>
      </c>
    </row>
    <row r="27" customFormat="false" ht="15" hidden="false" customHeight="false" outlineLevel="0" collapsed="false">
      <c r="A27" s="40" t="s">
        <v>45</v>
      </c>
      <c r="B27" s="32" t="n">
        <v>0</v>
      </c>
      <c r="C27" s="41" t="n">
        <f aca="false">SUMIFS(Transactions!$E$4:$E$400,Transactions!$C$4:$C$400,$A27,Transactions!$F$4:$F$400,2)</f>
        <v>0</v>
      </c>
      <c r="D27" s="41" t="n">
        <f aca="false">C27-B27</f>
        <v>0</v>
      </c>
    </row>
    <row r="28" customFormat="false" ht="15" hidden="false" customHeight="false" outlineLevel="0" collapsed="false">
      <c r="A28" s="40" t="s">
        <v>46</v>
      </c>
      <c r="B28" s="32" t="n">
        <v>0</v>
      </c>
      <c r="C28" s="41" t="n">
        <f aca="false">SUMIFS(Transactions!$E$4:$E$400,Transactions!$C$4:$C$400,$A28,Transactions!$F$4:$F$400,2)</f>
        <v>0</v>
      </c>
      <c r="D28" s="41" t="n">
        <f aca="false">C28-B28</f>
        <v>0</v>
      </c>
    </row>
    <row r="29" customFormat="false" ht="15" hidden="false" customHeight="false" outlineLevel="0" collapsed="false">
      <c r="A29" s="40" t="s">
        <v>47</v>
      </c>
      <c r="B29" s="32" t="n">
        <v>0</v>
      </c>
      <c r="C29" s="41" t="n">
        <f aca="false">SUMIFS(Transactions!$E$4:$E$400,Transactions!$C$4:$C$400,$A29,Transactions!$F$4:$F$400,2)</f>
        <v>0</v>
      </c>
      <c r="D29" s="41" t="n">
        <f aca="false">C29-B29</f>
        <v>0</v>
      </c>
    </row>
    <row r="30" customFormat="false" ht="15" hidden="false" customHeight="false" outlineLevel="0" collapsed="false">
      <c r="A30" s="40" t="s">
        <v>48</v>
      </c>
      <c r="B30" s="32" t="n">
        <v>0</v>
      </c>
      <c r="C30" s="41" t="n">
        <f aca="false">SUMIFS(Transactions!$E$4:$E$400,Transactions!$C$4:$C$400,$A30,Transactions!$F$4:$F$400,2)</f>
        <v>0</v>
      </c>
      <c r="D30" s="41" t="n">
        <f aca="false">C30-B30</f>
        <v>0</v>
      </c>
    </row>
    <row r="31" customFormat="false" ht="15" hidden="false" customHeight="false" outlineLevel="0" collapsed="false">
      <c r="A31" s="40" t="s">
        <v>49</v>
      </c>
      <c r="B31" s="32" t="n">
        <v>0</v>
      </c>
      <c r="C31" s="41" t="n">
        <f aca="false">SUMIFS(Transactions!$E$4:$E$400,Transactions!$C$4:$C$400,$A31,Transactions!$F$4:$F$400,2)</f>
        <v>0</v>
      </c>
      <c r="D31" s="41" t="n">
        <f aca="false">C31-B31</f>
        <v>0</v>
      </c>
    </row>
    <row r="32" customFormat="false" ht="15" hidden="false" customHeight="false" outlineLevel="0" collapsed="false">
      <c r="A32" s="40" t="s">
        <v>50</v>
      </c>
      <c r="B32" s="32" t="n">
        <v>0</v>
      </c>
      <c r="C32" s="41" t="n">
        <f aca="false">SUMIFS(Transactions!$E$4:$E$400,Transactions!$C$4:$C$400,$A32,Transactions!$F$4:$F$400,2)</f>
        <v>0</v>
      </c>
      <c r="D32" s="41" t="n">
        <f aca="false">C32-B32</f>
        <v>0</v>
      </c>
    </row>
    <row r="33" customFormat="false" ht="15" hidden="false" customHeight="false" outlineLevel="0" collapsed="false">
      <c r="A33" s="40" t="s">
        <v>51</v>
      </c>
      <c r="B33" s="32" t="n">
        <v>0</v>
      </c>
      <c r="C33" s="41" t="n">
        <f aca="false">SUMIFS(Transactions!$E$4:$E$400,Transactions!$C$4:$C$400,$A33,Transactions!$F$4:$F$400,2)</f>
        <v>0</v>
      </c>
      <c r="D33" s="41" t="n">
        <f aca="false">C33-B33</f>
        <v>0</v>
      </c>
    </row>
    <row r="34" customFormat="false" ht="15" hidden="false" customHeight="false" outlineLevel="0" collapsed="false">
      <c r="A34" s="40" t="s">
        <v>52</v>
      </c>
      <c r="B34" s="32" t="n">
        <v>0</v>
      </c>
      <c r="C34" s="41" t="n">
        <f aca="false">SUMIFS(Transactions!$E$4:$E$400,Transactions!$C$4:$C$400,$A34,Transactions!$F$4:$F$400,2)</f>
        <v>0</v>
      </c>
      <c r="D34" s="41" t="n">
        <f aca="false">C34-B34</f>
        <v>0</v>
      </c>
    </row>
    <row r="35" customFormat="false" ht="15" hidden="false" customHeight="false" outlineLevel="0" collapsed="false">
      <c r="A35" s="40" t="s">
        <v>53</v>
      </c>
      <c r="B35" s="32" t="n">
        <v>0</v>
      </c>
      <c r="C35" s="41" t="n">
        <f aca="false">SUMIFS(Transactions!$E$4:$E$400,Transactions!$C$4:$C$400,$A35,Transactions!$F$4:$F$400,2)</f>
        <v>0</v>
      </c>
      <c r="D35" s="41" t="n">
        <f aca="false">C35-B35</f>
        <v>0</v>
      </c>
    </row>
    <row r="36" customFormat="false" ht="15" hidden="false" customHeight="false" outlineLevel="0" collapsed="false">
      <c r="A36" s="40" t="s">
        <v>54</v>
      </c>
      <c r="B36" s="32" t="n">
        <v>0</v>
      </c>
      <c r="C36" s="41" t="n">
        <f aca="false">SUMIFS(Transactions!$E$4:$E$400,Transactions!$C$4:$C$400,$A36,Transactions!$F$4:$F$400,2)</f>
        <v>0</v>
      </c>
      <c r="D36" s="41" t="n">
        <f aca="false">C36-B36</f>
        <v>0</v>
      </c>
    </row>
    <row r="37" customFormat="false" ht="15" hidden="false" customHeight="false" outlineLevel="0" collapsed="false">
      <c r="A37" s="40" t="s">
        <v>55</v>
      </c>
      <c r="B37" s="32" t="n">
        <v>0</v>
      </c>
      <c r="C37" s="41" t="n">
        <f aca="false">SUMIFS(Transactions!$E$4:$E$400,Transactions!$C$4:$C$400,$A37,Transactions!$F$4:$F$400,2)</f>
        <v>0</v>
      </c>
      <c r="D37" s="41" t="n">
        <f aca="false">C37-B37</f>
        <v>0</v>
      </c>
    </row>
    <row r="38" customFormat="false" ht="15" hidden="false" customHeight="false" outlineLevel="0" collapsed="false">
      <c r="A38" s="34" t="s">
        <v>72</v>
      </c>
      <c r="B38" s="35" t="n">
        <f aca="false">SUM(B26:B37)</f>
        <v>0</v>
      </c>
      <c r="C38" s="35" t="n">
        <f aca="false">SUM(C26:C37)</f>
        <v>0</v>
      </c>
      <c r="D38" s="35" t="n">
        <f aca="false">SUM(D26:D37)</f>
        <v>0</v>
      </c>
    </row>
    <row r="40" customFormat="false" ht="18.75" hidden="false" customHeight="true" outlineLevel="0" collapsed="false">
      <c r="A40" s="42" t="s">
        <v>73</v>
      </c>
      <c r="B40" s="42"/>
      <c r="C40" s="42"/>
      <c r="D40" s="42"/>
    </row>
    <row r="41" customFormat="false" ht="15" hidden="false" customHeight="false" outlineLevel="0" collapsed="false">
      <c r="A41" s="43" t="s">
        <v>74</v>
      </c>
      <c r="B41" s="32" t="n">
        <v>0</v>
      </c>
      <c r="C41" s="44" t="n">
        <f aca="false">SUMIFS(Transactions!$E$4:$E$400,Transactions!$C$4:$C$400,$A41,Transactions!$F$4:$F$400,2)</f>
        <v>0</v>
      </c>
      <c r="D41" s="44" t="n">
        <f aca="false">C41-B41</f>
        <v>0</v>
      </c>
    </row>
    <row r="42" customFormat="false" ht="15" hidden="false" customHeight="false" outlineLevel="0" collapsed="false">
      <c r="A42" s="43" t="s">
        <v>75</v>
      </c>
      <c r="B42" s="32" t="n">
        <v>0</v>
      </c>
      <c r="C42" s="44" t="n">
        <f aca="false">SUMIFS(Transactions!$E$4:$E$400,Transactions!$C$4:$C$400,$A42,Transactions!$F$4:$F$400,2)</f>
        <v>0</v>
      </c>
      <c r="D42" s="44" t="n">
        <f aca="false">C42-B42</f>
        <v>0</v>
      </c>
    </row>
    <row r="43" customFormat="false" ht="15" hidden="false" customHeight="false" outlineLevel="0" collapsed="false">
      <c r="A43" s="43" t="s">
        <v>76</v>
      </c>
      <c r="B43" s="32" t="n">
        <v>0</v>
      </c>
      <c r="C43" s="44" t="n">
        <f aca="false">SUMIFS(Transactions!$E$4:$E$400,Transactions!$C$4:$C$400,$A43,Transactions!$F$4:$F$400,2)</f>
        <v>0</v>
      </c>
      <c r="D43" s="44" t="n">
        <f aca="false">C43-B43</f>
        <v>0</v>
      </c>
    </row>
    <row r="44" customFormat="false" ht="15" hidden="false" customHeight="false" outlineLevel="0" collapsed="false">
      <c r="A44" s="43" t="s">
        <v>77</v>
      </c>
      <c r="B44" s="32" t="n">
        <v>0</v>
      </c>
      <c r="C44" s="44" t="n">
        <f aca="false">SUMIFS(Transactions!$E$4:$E$400,Transactions!$C$4:$C$400,$A44,Transactions!$F$4:$F$400,2)</f>
        <v>0</v>
      </c>
      <c r="D44" s="44" t="n">
        <f aca="false">C44-B44</f>
        <v>0</v>
      </c>
    </row>
    <row r="45" customFormat="false" ht="15" hidden="false" customHeight="false" outlineLevel="0" collapsed="false">
      <c r="A45" s="43" t="s">
        <v>78</v>
      </c>
      <c r="B45" s="32" t="n">
        <v>0</v>
      </c>
      <c r="C45" s="44" t="n">
        <f aca="false">SUMIFS(Transactions!$E$4:$E$400,Transactions!$C$4:$C$400,$A45,Transactions!$F$4:$F$400,2)</f>
        <v>0</v>
      </c>
      <c r="D45" s="44" t="n">
        <f aca="false">C45-B45</f>
        <v>0</v>
      </c>
    </row>
    <row r="46" customFormat="false" ht="15" hidden="false" customHeight="false" outlineLevel="0" collapsed="false">
      <c r="A46" s="43" t="s">
        <v>79</v>
      </c>
      <c r="B46" s="32" t="n">
        <v>0</v>
      </c>
      <c r="C46" s="44" t="n">
        <f aca="false">SUMIFS(Transactions!$E$4:$E$400,Transactions!$C$4:$C$400,$A46,Transactions!$F$4:$F$400,2)</f>
        <v>0</v>
      </c>
      <c r="D46" s="44" t="n">
        <f aca="false">C46-B46</f>
        <v>0</v>
      </c>
    </row>
    <row r="47" customFormat="false" ht="15" hidden="false" customHeight="false" outlineLevel="0" collapsed="false">
      <c r="A47" s="34" t="s">
        <v>80</v>
      </c>
      <c r="B47" s="35" t="n">
        <f aca="false">SUM(B41:B46)</f>
        <v>0</v>
      </c>
      <c r="C47" s="35" t="n">
        <f aca="false">SUM(C41:C46)</f>
        <v>0</v>
      </c>
      <c r="D47" s="35" t="n">
        <f aca="false">SUM(D41:D46)</f>
        <v>0</v>
      </c>
    </row>
    <row r="49" customFormat="false" ht="18.75" hidden="false" customHeight="true" outlineLevel="0" collapsed="false">
      <c r="A49" s="45" t="s">
        <v>81</v>
      </c>
      <c r="B49" s="45"/>
      <c r="C49" s="45"/>
      <c r="D49" s="45"/>
    </row>
    <row r="50" customFormat="false" ht="15" hidden="false" customHeight="false" outlineLevel="0" collapsed="false">
      <c r="A50" s="46" t="s">
        <v>68</v>
      </c>
      <c r="B50" s="47" t="n">
        <f aca="false">B12</f>
        <v>0</v>
      </c>
      <c r="C50" s="47" t="n">
        <f aca="false">C12</f>
        <v>0</v>
      </c>
      <c r="D50" s="47" t="n">
        <f aca="false">C50-B50</f>
        <v>0</v>
      </c>
    </row>
    <row r="51" customFormat="false" ht="15" hidden="false" customHeight="false" outlineLevel="0" collapsed="false">
      <c r="A51" s="46" t="s">
        <v>82</v>
      </c>
      <c r="B51" s="47" t="n">
        <f aca="false">B23+B38</f>
        <v>0</v>
      </c>
      <c r="C51" s="47" t="n">
        <f aca="false">C23+C38</f>
        <v>0</v>
      </c>
      <c r="D51" s="47" t="n">
        <f aca="false">C51-B51</f>
        <v>0</v>
      </c>
    </row>
    <row r="52" customFormat="false" ht="15" hidden="false" customHeight="false" outlineLevel="0" collapsed="false">
      <c r="A52" s="46" t="s">
        <v>83</v>
      </c>
      <c r="B52" s="47" t="n">
        <f aca="false">B47</f>
        <v>0</v>
      </c>
      <c r="C52" s="47" t="n">
        <f aca="false">C47</f>
        <v>0</v>
      </c>
      <c r="D52" s="47" t="n">
        <f aca="false">C52-B52</f>
        <v>0</v>
      </c>
    </row>
    <row r="53" customFormat="false" ht="15" hidden="false" customHeight="false" outlineLevel="0" collapsed="false">
      <c r="A53" s="48" t="s">
        <v>84</v>
      </c>
      <c r="B53" s="49" t="n">
        <f aca="false">B50-B51-B52</f>
        <v>0</v>
      </c>
      <c r="C53" s="49" t="n">
        <f aca="false">C50-C51-C52</f>
        <v>0</v>
      </c>
      <c r="D53" s="49" t="n">
        <f aca="false">C53-B53</f>
        <v>0</v>
      </c>
    </row>
  </sheetData>
  <mergeCells count="7">
    <mergeCell ref="A1:D1"/>
    <mergeCell ref="A2:D2"/>
    <mergeCell ref="A5:D5"/>
    <mergeCell ref="A14:D14"/>
    <mergeCell ref="A25:D25"/>
    <mergeCell ref="A40:D40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62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"/>
  </cols>
  <sheetData>
    <row r="1" customFormat="false" ht="30" hidden="false" customHeight="true" outlineLevel="0" collapsed="false">
      <c r="A1" s="27" t="str">
        <f aca="false">"MARCH"&amp;" "&amp;Welcome!$B$7&amp;" BUDGET"</f>
        <v>MARCH 2026 BUDGET</v>
      </c>
      <c r="B1" s="27"/>
      <c r="C1" s="27"/>
      <c r="D1" s="27"/>
    </row>
    <row r="2" customFormat="false" ht="15" hidden="false" customHeight="false" outlineLevel="0" collapsed="false">
      <c r="A2" s="28" t="s">
        <v>56</v>
      </c>
      <c r="B2" s="28"/>
      <c r="C2" s="28"/>
      <c r="D2" s="28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</row>
    <row r="5" customFormat="false" ht="18.75" hidden="false" customHeight="true" outlineLevel="0" collapsed="false">
      <c r="A5" s="30" t="s">
        <v>61</v>
      </c>
      <c r="B5" s="30"/>
      <c r="C5" s="30"/>
      <c r="D5" s="30"/>
    </row>
    <row r="6" customFormat="false" ht="15" hidden="false" customHeight="false" outlineLevel="0" collapsed="false">
      <c r="A6" s="31" t="s">
        <v>62</v>
      </c>
      <c r="B6" s="32" t="n">
        <v>0</v>
      </c>
      <c r="C6" s="33" t="n">
        <f aca="false">SUMIFS(Transactions!$E$4:$E$400,Transactions!$C$4:$C$400,$A6,Transactions!$F$4:$F$400,3)</f>
        <v>0</v>
      </c>
      <c r="D6" s="33" t="n">
        <f aca="false">C6-B6</f>
        <v>0</v>
      </c>
    </row>
    <row r="7" customFormat="false" ht="15" hidden="false" customHeight="false" outlineLevel="0" collapsed="false">
      <c r="A7" s="31" t="s">
        <v>63</v>
      </c>
      <c r="B7" s="32" t="n">
        <v>0</v>
      </c>
      <c r="C7" s="33" t="n">
        <f aca="false">SUMIFS(Transactions!$E$4:$E$400,Transactions!$C$4:$C$400,$A7,Transactions!$F$4:$F$400,3)</f>
        <v>0</v>
      </c>
      <c r="D7" s="33" t="n">
        <f aca="false">C7-B7</f>
        <v>0</v>
      </c>
    </row>
    <row r="8" customFormat="false" ht="15" hidden="false" customHeight="false" outlineLevel="0" collapsed="false">
      <c r="A8" s="31" t="s">
        <v>64</v>
      </c>
      <c r="B8" s="32" t="n">
        <v>0</v>
      </c>
      <c r="C8" s="33" t="n">
        <f aca="false">SUMIFS(Transactions!$E$4:$E$400,Transactions!$C$4:$C$400,$A8,Transactions!$F$4:$F$400,3)</f>
        <v>0</v>
      </c>
      <c r="D8" s="33" t="n">
        <f aca="false">C8-B8</f>
        <v>0</v>
      </c>
    </row>
    <row r="9" customFormat="false" ht="15" hidden="false" customHeight="false" outlineLevel="0" collapsed="false">
      <c r="A9" s="31" t="s">
        <v>65</v>
      </c>
      <c r="B9" s="32" t="n">
        <v>0</v>
      </c>
      <c r="C9" s="33" t="n">
        <f aca="false">SUMIFS(Transactions!$E$4:$E$400,Transactions!$C$4:$C$400,$A9,Transactions!$F$4:$F$400,3)</f>
        <v>0</v>
      </c>
      <c r="D9" s="33" t="n">
        <f aca="false">C9-B9</f>
        <v>0</v>
      </c>
    </row>
    <row r="10" customFormat="false" ht="15" hidden="false" customHeight="false" outlineLevel="0" collapsed="false">
      <c r="A10" s="31" t="s">
        <v>66</v>
      </c>
      <c r="B10" s="32" t="n">
        <v>0</v>
      </c>
      <c r="C10" s="33" t="n">
        <f aca="false">SUMIFS(Transactions!$E$4:$E$400,Transactions!$C$4:$C$400,$A10,Transactions!$F$4:$F$400,3)</f>
        <v>0</v>
      </c>
      <c r="D10" s="33" t="n">
        <f aca="false">C10-B10</f>
        <v>0</v>
      </c>
    </row>
    <row r="11" customFormat="false" ht="15" hidden="false" customHeight="false" outlineLevel="0" collapsed="false">
      <c r="A11" s="31" t="s">
        <v>67</v>
      </c>
      <c r="B11" s="32" t="n">
        <v>0</v>
      </c>
      <c r="C11" s="33" t="n">
        <f aca="false">SUMIFS(Transactions!$E$4:$E$400,Transactions!$C$4:$C$400,$A11,Transactions!$F$4:$F$400,3)</f>
        <v>0</v>
      </c>
      <c r="D11" s="33" t="n">
        <f aca="false">C11-B11</f>
        <v>0</v>
      </c>
    </row>
    <row r="12" customFormat="false" ht="15" hidden="false" customHeight="false" outlineLevel="0" collapsed="false">
      <c r="A12" s="34" t="s">
        <v>68</v>
      </c>
      <c r="B12" s="35" t="n">
        <f aca="false">SUM(B6:B11)</f>
        <v>0</v>
      </c>
      <c r="C12" s="35" t="n">
        <f aca="false">SUM(C6:C11)</f>
        <v>0</v>
      </c>
      <c r="D12" s="35" t="n">
        <f aca="false">SUM(D6:D11)</f>
        <v>0</v>
      </c>
    </row>
    <row r="14" customFormat="false" ht="18.75" hidden="false" customHeight="true" outlineLevel="0" collapsed="false">
      <c r="A14" s="36" t="s">
        <v>69</v>
      </c>
      <c r="B14" s="36"/>
      <c r="C14" s="36"/>
      <c r="D14" s="36"/>
    </row>
    <row r="15" customFormat="false" ht="15" hidden="false" customHeight="false" outlineLevel="0" collapsed="false">
      <c r="A15" s="37" t="s">
        <v>36</v>
      </c>
      <c r="B15" s="32" t="n">
        <v>0</v>
      </c>
      <c r="C15" s="38" t="n">
        <f aca="false">SUMIFS(Transactions!$E$4:$E$400,Transactions!$C$4:$C$400,$A15,Transactions!$F$4:$F$400,3)</f>
        <v>0</v>
      </c>
      <c r="D15" s="38" t="n">
        <f aca="false">C15-B15</f>
        <v>0</v>
      </c>
    </row>
    <row r="16" customFormat="false" ht="15" hidden="false" customHeight="false" outlineLevel="0" collapsed="false">
      <c r="A16" s="37" t="s">
        <v>37</v>
      </c>
      <c r="B16" s="32" t="n">
        <v>0</v>
      </c>
      <c r="C16" s="38" t="n">
        <f aca="false">SUMIFS(Transactions!$E$4:$E$400,Transactions!$C$4:$C$400,$A16,Transactions!$F$4:$F$400,3)</f>
        <v>0</v>
      </c>
      <c r="D16" s="38" t="n">
        <f aca="false">C16-B16</f>
        <v>0</v>
      </c>
    </row>
    <row r="17" customFormat="false" ht="15" hidden="false" customHeight="false" outlineLevel="0" collapsed="false">
      <c r="A17" s="37" t="s">
        <v>38</v>
      </c>
      <c r="B17" s="32" t="n">
        <v>0</v>
      </c>
      <c r="C17" s="38" t="n">
        <f aca="false">SUMIFS(Transactions!$E$4:$E$400,Transactions!$C$4:$C$400,$A17,Transactions!$F$4:$F$400,3)</f>
        <v>0</v>
      </c>
      <c r="D17" s="38" t="n">
        <f aca="false">C17-B17</f>
        <v>0</v>
      </c>
    </row>
    <row r="18" customFormat="false" ht="15" hidden="false" customHeight="false" outlineLevel="0" collapsed="false">
      <c r="A18" s="37" t="s">
        <v>39</v>
      </c>
      <c r="B18" s="32" t="n">
        <v>0</v>
      </c>
      <c r="C18" s="38" t="n">
        <f aca="false">SUMIFS(Transactions!$E$4:$E$400,Transactions!$C$4:$C$400,$A18,Transactions!$F$4:$F$400,3)</f>
        <v>0</v>
      </c>
      <c r="D18" s="38" t="n">
        <f aca="false">C18-B18</f>
        <v>0</v>
      </c>
    </row>
    <row r="19" customFormat="false" ht="15" hidden="false" customHeight="false" outlineLevel="0" collapsed="false">
      <c r="A19" s="37" t="s">
        <v>40</v>
      </c>
      <c r="B19" s="32" t="n">
        <v>0</v>
      </c>
      <c r="C19" s="38" t="n">
        <f aca="false">SUMIFS(Transactions!$E$4:$E$400,Transactions!$C$4:$C$400,$A19,Transactions!$F$4:$F$400,3)</f>
        <v>0</v>
      </c>
      <c r="D19" s="38" t="n">
        <f aca="false">C19-B19</f>
        <v>0</v>
      </c>
    </row>
    <row r="20" customFormat="false" ht="15" hidden="false" customHeight="false" outlineLevel="0" collapsed="false">
      <c r="A20" s="37" t="s">
        <v>41</v>
      </c>
      <c r="B20" s="32" t="n">
        <v>0</v>
      </c>
      <c r="C20" s="38" t="n">
        <f aca="false">SUMIFS(Transactions!$E$4:$E$400,Transactions!$C$4:$C$400,$A20,Transactions!$F$4:$F$400,3)</f>
        <v>0</v>
      </c>
      <c r="D20" s="38" t="n">
        <f aca="false">C20-B20</f>
        <v>0</v>
      </c>
    </row>
    <row r="21" customFormat="false" ht="15" hidden="false" customHeight="false" outlineLevel="0" collapsed="false">
      <c r="A21" s="37" t="s">
        <v>42</v>
      </c>
      <c r="B21" s="32" t="n">
        <v>0</v>
      </c>
      <c r="C21" s="38" t="n">
        <f aca="false">SUMIFS(Transactions!$E$4:$E$400,Transactions!$C$4:$C$400,$A21,Transactions!$F$4:$F$400,3)</f>
        <v>0</v>
      </c>
      <c r="D21" s="38" t="n">
        <f aca="false">C21-B21</f>
        <v>0</v>
      </c>
    </row>
    <row r="22" customFormat="false" ht="15" hidden="false" customHeight="false" outlineLevel="0" collapsed="false">
      <c r="A22" s="37" t="s">
        <v>43</v>
      </c>
      <c r="B22" s="32" t="n">
        <v>0</v>
      </c>
      <c r="C22" s="38" t="n">
        <f aca="false">SUMIFS(Transactions!$E$4:$E$400,Transactions!$C$4:$C$400,$A22,Transactions!$F$4:$F$400,3)</f>
        <v>0</v>
      </c>
      <c r="D22" s="38" t="n">
        <f aca="false">C22-B22</f>
        <v>0</v>
      </c>
    </row>
    <row r="23" customFormat="false" ht="15" hidden="false" customHeight="false" outlineLevel="0" collapsed="false">
      <c r="A23" s="34" t="s">
        <v>70</v>
      </c>
      <c r="B23" s="35" t="n">
        <f aca="false">SUM(B15:B22)</f>
        <v>0</v>
      </c>
      <c r="C23" s="35" t="n">
        <f aca="false">SUM(C15:C22)</f>
        <v>0</v>
      </c>
      <c r="D23" s="35" t="n">
        <f aca="false">SUM(D15:D22)</f>
        <v>0</v>
      </c>
    </row>
    <row r="25" customFormat="false" ht="18.75" hidden="false" customHeight="true" outlineLevel="0" collapsed="false">
      <c r="A25" s="39" t="s">
        <v>71</v>
      </c>
      <c r="B25" s="39"/>
      <c r="C25" s="39"/>
      <c r="D25" s="39"/>
    </row>
    <row r="26" customFormat="false" ht="15" hidden="false" customHeight="false" outlineLevel="0" collapsed="false">
      <c r="A26" s="40" t="s">
        <v>44</v>
      </c>
      <c r="B26" s="32" t="n">
        <v>0</v>
      </c>
      <c r="C26" s="41" t="n">
        <f aca="false">SUMIFS(Transactions!$E$4:$E$400,Transactions!$C$4:$C$400,$A26,Transactions!$F$4:$F$400,3)</f>
        <v>0</v>
      </c>
      <c r="D26" s="41" t="n">
        <f aca="false">C26-B26</f>
        <v>0</v>
      </c>
    </row>
    <row r="27" customFormat="false" ht="15" hidden="false" customHeight="false" outlineLevel="0" collapsed="false">
      <c r="A27" s="40" t="s">
        <v>45</v>
      </c>
      <c r="B27" s="32" t="n">
        <v>0</v>
      </c>
      <c r="C27" s="41" t="n">
        <f aca="false">SUMIFS(Transactions!$E$4:$E$400,Transactions!$C$4:$C$400,$A27,Transactions!$F$4:$F$400,3)</f>
        <v>0</v>
      </c>
      <c r="D27" s="41" t="n">
        <f aca="false">C27-B27</f>
        <v>0</v>
      </c>
    </row>
    <row r="28" customFormat="false" ht="15" hidden="false" customHeight="false" outlineLevel="0" collapsed="false">
      <c r="A28" s="40" t="s">
        <v>46</v>
      </c>
      <c r="B28" s="32" t="n">
        <v>0</v>
      </c>
      <c r="C28" s="41" t="n">
        <f aca="false">SUMIFS(Transactions!$E$4:$E$400,Transactions!$C$4:$C$400,$A28,Transactions!$F$4:$F$400,3)</f>
        <v>0</v>
      </c>
      <c r="D28" s="41" t="n">
        <f aca="false">C28-B28</f>
        <v>0</v>
      </c>
    </row>
    <row r="29" customFormat="false" ht="15" hidden="false" customHeight="false" outlineLevel="0" collapsed="false">
      <c r="A29" s="40" t="s">
        <v>47</v>
      </c>
      <c r="B29" s="32" t="n">
        <v>0</v>
      </c>
      <c r="C29" s="41" t="n">
        <f aca="false">SUMIFS(Transactions!$E$4:$E$400,Transactions!$C$4:$C$400,$A29,Transactions!$F$4:$F$400,3)</f>
        <v>0</v>
      </c>
      <c r="D29" s="41" t="n">
        <f aca="false">C29-B29</f>
        <v>0</v>
      </c>
    </row>
    <row r="30" customFormat="false" ht="15" hidden="false" customHeight="false" outlineLevel="0" collapsed="false">
      <c r="A30" s="40" t="s">
        <v>48</v>
      </c>
      <c r="B30" s="32" t="n">
        <v>0</v>
      </c>
      <c r="C30" s="41" t="n">
        <f aca="false">SUMIFS(Transactions!$E$4:$E$400,Transactions!$C$4:$C$400,$A30,Transactions!$F$4:$F$400,3)</f>
        <v>0</v>
      </c>
      <c r="D30" s="41" t="n">
        <f aca="false">C30-B30</f>
        <v>0</v>
      </c>
    </row>
    <row r="31" customFormat="false" ht="15" hidden="false" customHeight="false" outlineLevel="0" collapsed="false">
      <c r="A31" s="40" t="s">
        <v>49</v>
      </c>
      <c r="B31" s="32" t="n">
        <v>0</v>
      </c>
      <c r="C31" s="41" t="n">
        <f aca="false">SUMIFS(Transactions!$E$4:$E$400,Transactions!$C$4:$C$400,$A31,Transactions!$F$4:$F$400,3)</f>
        <v>0</v>
      </c>
      <c r="D31" s="41" t="n">
        <f aca="false">C31-B31</f>
        <v>0</v>
      </c>
    </row>
    <row r="32" customFormat="false" ht="15" hidden="false" customHeight="false" outlineLevel="0" collapsed="false">
      <c r="A32" s="40" t="s">
        <v>50</v>
      </c>
      <c r="B32" s="32" t="n">
        <v>0</v>
      </c>
      <c r="C32" s="41" t="n">
        <f aca="false">SUMIFS(Transactions!$E$4:$E$400,Transactions!$C$4:$C$400,$A32,Transactions!$F$4:$F$400,3)</f>
        <v>0</v>
      </c>
      <c r="D32" s="41" t="n">
        <f aca="false">C32-B32</f>
        <v>0</v>
      </c>
    </row>
    <row r="33" customFormat="false" ht="15" hidden="false" customHeight="false" outlineLevel="0" collapsed="false">
      <c r="A33" s="40" t="s">
        <v>51</v>
      </c>
      <c r="B33" s="32" t="n">
        <v>0</v>
      </c>
      <c r="C33" s="41" t="n">
        <f aca="false">SUMIFS(Transactions!$E$4:$E$400,Transactions!$C$4:$C$400,$A33,Transactions!$F$4:$F$400,3)</f>
        <v>0</v>
      </c>
      <c r="D33" s="41" t="n">
        <f aca="false">C33-B33</f>
        <v>0</v>
      </c>
    </row>
    <row r="34" customFormat="false" ht="15" hidden="false" customHeight="false" outlineLevel="0" collapsed="false">
      <c r="A34" s="40" t="s">
        <v>52</v>
      </c>
      <c r="B34" s="32" t="n">
        <v>0</v>
      </c>
      <c r="C34" s="41" t="n">
        <f aca="false">SUMIFS(Transactions!$E$4:$E$400,Transactions!$C$4:$C$400,$A34,Transactions!$F$4:$F$400,3)</f>
        <v>0</v>
      </c>
      <c r="D34" s="41" t="n">
        <f aca="false">C34-B34</f>
        <v>0</v>
      </c>
    </row>
    <row r="35" customFormat="false" ht="15" hidden="false" customHeight="false" outlineLevel="0" collapsed="false">
      <c r="A35" s="40" t="s">
        <v>53</v>
      </c>
      <c r="B35" s="32" t="n">
        <v>0</v>
      </c>
      <c r="C35" s="41" t="n">
        <f aca="false">SUMIFS(Transactions!$E$4:$E$400,Transactions!$C$4:$C$400,$A35,Transactions!$F$4:$F$400,3)</f>
        <v>0</v>
      </c>
      <c r="D35" s="41" t="n">
        <f aca="false">C35-B35</f>
        <v>0</v>
      </c>
    </row>
    <row r="36" customFormat="false" ht="15" hidden="false" customHeight="false" outlineLevel="0" collapsed="false">
      <c r="A36" s="40" t="s">
        <v>54</v>
      </c>
      <c r="B36" s="32" t="n">
        <v>0</v>
      </c>
      <c r="C36" s="41" t="n">
        <f aca="false">SUMIFS(Transactions!$E$4:$E$400,Transactions!$C$4:$C$400,$A36,Transactions!$F$4:$F$400,3)</f>
        <v>0</v>
      </c>
      <c r="D36" s="41" t="n">
        <f aca="false">C36-B36</f>
        <v>0</v>
      </c>
    </row>
    <row r="37" customFormat="false" ht="15" hidden="false" customHeight="false" outlineLevel="0" collapsed="false">
      <c r="A37" s="40" t="s">
        <v>55</v>
      </c>
      <c r="B37" s="32" t="n">
        <v>0</v>
      </c>
      <c r="C37" s="41" t="n">
        <f aca="false">SUMIFS(Transactions!$E$4:$E$400,Transactions!$C$4:$C$400,$A37,Transactions!$F$4:$F$400,3)</f>
        <v>0</v>
      </c>
      <c r="D37" s="41" t="n">
        <f aca="false">C37-B37</f>
        <v>0</v>
      </c>
    </row>
    <row r="38" customFormat="false" ht="15" hidden="false" customHeight="false" outlineLevel="0" collapsed="false">
      <c r="A38" s="34" t="s">
        <v>72</v>
      </c>
      <c r="B38" s="35" t="n">
        <f aca="false">SUM(B26:B37)</f>
        <v>0</v>
      </c>
      <c r="C38" s="35" t="n">
        <f aca="false">SUM(C26:C37)</f>
        <v>0</v>
      </c>
      <c r="D38" s="35" t="n">
        <f aca="false">SUM(D26:D37)</f>
        <v>0</v>
      </c>
    </row>
    <row r="40" customFormat="false" ht="18.75" hidden="false" customHeight="true" outlineLevel="0" collapsed="false">
      <c r="A40" s="42" t="s">
        <v>73</v>
      </c>
      <c r="B40" s="42"/>
      <c r="C40" s="42"/>
      <c r="D40" s="42"/>
    </row>
    <row r="41" customFormat="false" ht="15" hidden="false" customHeight="false" outlineLevel="0" collapsed="false">
      <c r="A41" s="43" t="s">
        <v>74</v>
      </c>
      <c r="B41" s="32" t="n">
        <v>0</v>
      </c>
      <c r="C41" s="44" t="n">
        <f aca="false">SUMIFS(Transactions!$E$4:$E$400,Transactions!$C$4:$C$400,$A41,Transactions!$F$4:$F$400,3)</f>
        <v>0</v>
      </c>
      <c r="D41" s="44" t="n">
        <f aca="false">C41-B41</f>
        <v>0</v>
      </c>
    </row>
    <row r="42" customFormat="false" ht="15" hidden="false" customHeight="false" outlineLevel="0" collapsed="false">
      <c r="A42" s="43" t="s">
        <v>75</v>
      </c>
      <c r="B42" s="32" t="n">
        <v>0</v>
      </c>
      <c r="C42" s="44" t="n">
        <f aca="false">SUMIFS(Transactions!$E$4:$E$400,Transactions!$C$4:$C$400,$A42,Transactions!$F$4:$F$400,3)</f>
        <v>0</v>
      </c>
      <c r="D42" s="44" t="n">
        <f aca="false">C42-B42</f>
        <v>0</v>
      </c>
    </row>
    <row r="43" customFormat="false" ht="15" hidden="false" customHeight="false" outlineLevel="0" collapsed="false">
      <c r="A43" s="43" t="s">
        <v>76</v>
      </c>
      <c r="B43" s="32" t="n">
        <v>0</v>
      </c>
      <c r="C43" s="44" t="n">
        <f aca="false">SUMIFS(Transactions!$E$4:$E$400,Transactions!$C$4:$C$400,$A43,Transactions!$F$4:$F$400,3)</f>
        <v>0</v>
      </c>
      <c r="D43" s="44" t="n">
        <f aca="false">C43-B43</f>
        <v>0</v>
      </c>
    </row>
    <row r="44" customFormat="false" ht="15" hidden="false" customHeight="false" outlineLevel="0" collapsed="false">
      <c r="A44" s="43" t="s">
        <v>77</v>
      </c>
      <c r="B44" s="32" t="n">
        <v>0</v>
      </c>
      <c r="C44" s="44" t="n">
        <f aca="false">SUMIFS(Transactions!$E$4:$E$400,Transactions!$C$4:$C$400,$A44,Transactions!$F$4:$F$400,3)</f>
        <v>0</v>
      </c>
      <c r="D44" s="44" t="n">
        <f aca="false">C44-B44</f>
        <v>0</v>
      </c>
    </row>
    <row r="45" customFormat="false" ht="15" hidden="false" customHeight="false" outlineLevel="0" collapsed="false">
      <c r="A45" s="43" t="s">
        <v>78</v>
      </c>
      <c r="B45" s="32" t="n">
        <v>0</v>
      </c>
      <c r="C45" s="44" t="n">
        <f aca="false">SUMIFS(Transactions!$E$4:$E$400,Transactions!$C$4:$C$400,$A45,Transactions!$F$4:$F$400,3)</f>
        <v>0</v>
      </c>
      <c r="D45" s="44" t="n">
        <f aca="false">C45-B45</f>
        <v>0</v>
      </c>
    </row>
    <row r="46" customFormat="false" ht="15" hidden="false" customHeight="false" outlineLevel="0" collapsed="false">
      <c r="A46" s="43" t="s">
        <v>79</v>
      </c>
      <c r="B46" s="32" t="n">
        <v>0</v>
      </c>
      <c r="C46" s="44" t="n">
        <f aca="false">SUMIFS(Transactions!$E$4:$E$400,Transactions!$C$4:$C$400,$A46,Transactions!$F$4:$F$400,3)</f>
        <v>0</v>
      </c>
      <c r="D46" s="44" t="n">
        <f aca="false">C46-B46</f>
        <v>0</v>
      </c>
    </row>
    <row r="47" customFormat="false" ht="15" hidden="false" customHeight="false" outlineLevel="0" collapsed="false">
      <c r="A47" s="34" t="s">
        <v>80</v>
      </c>
      <c r="B47" s="35" t="n">
        <f aca="false">SUM(B41:B46)</f>
        <v>0</v>
      </c>
      <c r="C47" s="35" t="n">
        <f aca="false">SUM(C41:C46)</f>
        <v>0</v>
      </c>
      <c r="D47" s="35" t="n">
        <f aca="false">SUM(D41:D46)</f>
        <v>0</v>
      </c>
    </row>
    <row r="49" customFormat="false" ht="18.75" hidden="false" customHeight="true" outlineLevel="0" collapsed="false">
      <c r="A49" s="45" t="s">
        <v>81</v>
      </c>
      <c r="B49" s="45"/>
      <c r="C49" s="45"/>
      <c r="D49" s="45"/>
    </row>
    <row r="50" customFormat="false" ht="15" hidden="false" customHeight="false" outlineLevel="0" collapsed="false">
      <c r="A50" s="46" t="s">
        <v>68</v>
      </c>
      <c r="B50" s="47" t="n">
        <f aca="false">B12</f>
        <v>0</v>
      </c>
      <c r="C50" s="47" t="n">
        <f aca="false">C12</f>
        <v>0</v>
      </c>
      <c r="D50" s="47" t="n">
        <f aca="false">C50-B50</f>
        <v>0</v>
      </c>
    </row>
    <row r="51" customFormat="false" ht="15" hidden="false" customHeight="false" outlineLevel="0" collapsed="false">
      <c r="A51" s="46" t="s">
        <v>82</v>
      </c>
      <c r="B51" s="47" t="n">
        <f aca="false">B23+B38</f>
        <v>0</v>
      </c>
      <c r="C51" s="47" t="n">
        <f aca="false">C23+C38</f>
        <v>0</v>
      </c>
      <c r="D51" s="47" t="n">
        <f aca="false">C51-B51</f>
        <v>0</v>
      </c>
    </row>
    <row r="52" customFormat="false" ht="15" hidden="false" customHeight="false" outlineLevel="0" collapsed="false">
      <c r="A52" s="46" t="s">
        <v>83</v>
      </c>
      <c r="B52" s="47" t="n">
        <f aca="false">B47</f>
        <v>0</v>
      </c>
      <c r="C52" s="47" t="n">
        <f aca="false">C47</f>
        <v>0</v>
      </c>
      <c r="D52" s="47" t="n">
        <f aca="false">C52-B52</f>
        <v>0</v>
      </c>
    </row>
    <row r="53" customFormat="false" ht="15" hidden="false" customHeight="false" outlineLevel="0" collapsed="false">
      <c r="A53" s="48" t="s">
        <v>84</v>
      </c>
      <c r="B53" s="49" t="n">
        <f aca="false">B50-B51-B52</f>
        <v>0</v>
      </c>
      <c r="C53" s="49" t="n">
        <f aca="false">C50-C51-C52</f>
        <v>0</v>
      </c>
      <c r="D53" s="49" t="n">
        <f aca="false">C53-B53</f>
        <v>0</v>
      </c>
    </row>
  </sheetData>
  <mergeCells count="7">
    <mergeCell ref="A1:D1"/>
    <mergeCell ref="A2:D2"/>
    <mergeCell ref="A5:D5"/>
    <mergeCell ref="A14:D14"/>
    <mergeCell ref="A25:D25"/>
    <mergeCell ref="A40:D40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"/>
  </cols>
  <sheetData>
    <row r="1" customFormat="false" ht="30" hidden="false" customHeight="true" outlineLevel="0" collapsed="false">
      <c r="A1" s="27" t="str">
        <f aca="false">"APRIL"&amp;" "&amp;Welcome!$B$7&amp;" BUDGET"</f>
        <v>APRIL 2026 BUDGET</v>
      </c>
      <c r="B1" s="27"/>
      <c r="C1" s="27"/>
      <c r="D1" s="27"/>
    </row>
    <row r="2" customFormat="false" ht="15" hidden="false" customHeight="false" outlineLevel="0" collapsed="false">
      <c r="A2" s="28" t="s">
        <v>56</v>
      </c>
      <c r="B2" s="28"/>
      <c r="C2" s="28"/>
      <c r="D2" s="28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</row>
    <row r="5" customFormat="false" ht="18.75" hidden="false" customHeight="true" outlineLevel="0" collapsed="false">
      <c r="A5" s="30" t="s">
        <v>61</v>
      </c>
      <c r="B5" s="30"/>
      <c r="C5" s="30"/>
      <c r="D5" s="30"/>
    </row>
    <row r="6" customFormat="false" ht="15" hidden="false" customHeight="false" outlineLevel="0" collapsed="false">
      <c r="A6" s="31" t="s">
        <v>62</v>
      </c>
      <c r="B6" s="32" t="n">
        <v>0</v>
      </c>
      <c r="C6" s="33" t="n">
        <f aca="false">SUMIFS(Transactions!$E$4:$E$400,Transactions!$C$4:$C$400,$A6,Transactions!$F$4:$F$400,4)</f>
        <v>0</v>
      </c>
      <c r="D6" s="33" t="n">
        <f aca="false">C6-B6</f>
        <v>0</v>
      </c>
    </row>
    <row r="7" customFormat="false" ht="15" hidden="false" customHeight="false" outlineLevel="0" collapsed="false">
      <c r="A7" s="31" t="s">
        <v>63</v>
      </c>
      <c r="B7" s="32" t="n">
        <v>0</v>
      </c>
      <c r="C7" s="33" t="n">
        <f aca="false">SUMIFS(Transactions!$E$4:$E$400,Transactions!$C$4:$C$400,$A7,Transactions!$F$4:$F$400,4)</f>
        <v>0</v>
      </c>
      <c r="D7" s="33" t="n">
        <f aca="false">C7-B7</f>
        <v>0</v>
      </c>
    </row>
    <row r="8" customFormat="false" ht="15" hidden="false" customHeight="false" outlineLevel="0" collapsed="false">
      <c r="A8" s="31" t="s">
        <v>64</v>
      </c>
      <c r="B8" s="32" t="n">
        <v>0</v>
      </c>
      <c r="C8" s="33" t="n">
        <f aca="false">SUMIFS(Transactions!$E$4:$E$400,Transactions!$C$4:$C$400,$A8,Transactions!$F$4:$F$400,4)</f>
        <v>0</v>
      </c>
      <c r="D8" s="33" t="n">
        <f aca="false">C8-B8</f>
        <v>0</v>
      </c>
    </row>
    <row r="9" customFormat="false" ht="15" hidden="false" customHeight="false" outlineLevel="0" collapsed="false">
      <c r="A9" s="31" t="s">
        <v>65</v>
      </c>
      <c r="B9" s="32" t="n">
        <v>0</v>
      </c>
      <c r="C9" s="33" t="n">
        <f aca="false">SUMIFS(Transactions!$E$4:$E$400,Transactions!$C$4:$C$400,$A9,Transactions!$F$4:$F$400,4)</f>
        <v>0</v>
      </c>
      <c r="D9" s="33" t="n">
        <f aca="false">C9-B9</f>
        <v>0</v>
      </c>
    </row>
    <row r="10" customFormat="false" ht="15" hidden="false" customHeight="false" outlineLevel="0" collapsed="false">
      <c r="A10" s="31" t="s">
        <v>66</v>
      </c>
      <c r="B10" s="32" t="n">
        <v>0</v>
      </c>
      <c r="C10" s="33" t="n">
        <f aca="false">SUMIFS(Transactions!$E$4:$E$400,Transactions!$C$4:$C$400,$A10,Transactions!$F$4:$F$400,4)</f>
        <v>0</v>
      </c>
      <c r="D10" s="33" t="n">
        <f aca="false">C10-B10</f>
        <v>0</v>
      </c>
    </row>
    <row r="11" customFormat="false" ht="15" hidden="false" customHeight="false" outlineLevel="0" collapsed="false">
      <c r="A11" s="31" t="s">
        <v>67</v>
      </c>
      <c r="B11" s="32" t="n">
        <v>0</v>
      </c>
      <c r="C11" s="33" t="n">
        <f aca="false">SUMIFS(Transactions!$E$4:$E$400,Transactions!$C$4:$C$400,$A11,Transactions!$F$4:$F$400,4)</f>
        <v>0</v>
      </c>
      <c r="D11" s="33" t="n">
        <f aca="false">C11-B11</f>
        <v>0</v>
      </c>
    </row>
    <row r="12" customFormat="false" ht="15" hidden="false" customHeight="false" outlineLevel="0" collapsed="false">
      <c r="A12" s="34" t="s">
        <v>68</v>
      </c>
      <c r="B12" s="35" t="n">
        <f aca="false">SUM(B6:B11)</f>
        <v>0</v>
      </c>
      <c r="C12" s="35" t="n">
        <f aca="false">SUM(C6:C11)</f>
        <v>0</v>
      </c>
      <c r="D12" s="35" t="n">
        <f aca="false">SUM(D6:D11)</f>
        <v>0</v>
      </c>
    </row>
    <row r="14" customFormat="false" ht="18.75" hidden="false" customHeight="true" outlineLevel="0" collapsed="false">
      <c r="A14" s="36" t="s">
        <v>69</v>
      </c>
      <c r="B14" s="36"/>
      <c r="C14" s="36"/>
      <c r="D14" s="36"/>
    </row>
    <row r="15" customFormat="false" ht="15" hidden="false" customHeight="false" outlineLevel="0" collapsed="false">
      <c r="A15" s="37" t="s">
        <v>36</v>
      </c>
      <c r="B15" s="32" t="n">
        <v>0</v>
      </c>
      <c r="C15" s="38" t="n">
        <f aca="false">SUMIFS(Transactions!$E$4:$E$400,Transactions!$C$4:$C$400,$A15,Transactions!$F$4:$F$400,4)</f>
        <v>0</v>
      </c>
      <c r="D15" s="38" t="n">
        <f aca="false">C15-B15</f>
        <v>0</v>
      </c>
    </row>
    <row r="16" customFormat="false" ht="15" hidden="false" customHeight="false" outlineLevel="0" collapsed="false">
      <c r="A16" s="37" t="s">
        <v>37</v>
      </c>
      <c r="B16" s="32" t="n">
        <v>0</v>
      </c>
      <c r="C16" s="38" t="n">
        <f aca="false">SUMIFS(Transactions!$E$4:$E$400,Transactions!$C$4:$C$400,$A16,Transactions!$F$4:$F$400,4)</f>
        <v>0</v>
      </c>
      <c r="D16" s="38" t="n">
        <f aca="false">C16-B16</f>
        <v>0</v>
      </c>
    </row>
    <row r="17" customFormat="false" ht="15" hidden="false" customHeight="false" outlineLevel="0" collapsed="false">
      <c r="A17" s="37" t="s">
        <v>38</v>
      </c>
      <c r="B17" s="32" t="n">
        <v>0</v>
      </c>
      <c r="C17" s="38" t="n">
        <f aca="false">SUMIFS(Transactions!$E$4:$E$400,Transactions!$C$4:$C$400,$A17,Transactions!$F$4:$F$400,4)</f>
        <v>0</v>
      </c>
      <c r="D17" s="38" t="n">
        <f aca="false">C17-B17</f>
        <v>0</v>
      </c>
    </row>
    <row r="18" customFormat="false" ht="15" hidden="false" customHeight="false" outlineLevel="0" collapsed="false">
      <c r="A18" s="37" t="s">
        <v>39</v>
      </c>
      <c r="B18" s="32" t="n">
        <v>0</v>
      </c>
      <c r="C18" s="38" t="n">
        <f aca="false">SUMIFS(Transactions!$E$4:$E$400,Transactions!$C$4:$C$400,$A18,Transactions!$F$4:$F$400,4)</f>
        <v>0</v>
      </c>
      <c r="D18" s="38" t="n">
        <f aca="false">C18-B18</f>
        <v>0</v>
      </c>
    </row>
    <row r="19" customFormat="false" ht="15" hidden="false" customHeight="false" outlineLevel="0" collapsed="false">
      <c r="A19" s="37" t="s">
        <v>40</v>
      </c>
      <c r="B19" s="32" t="n">
        <v>0</v>
      </c>
      <c r="C19" s="38" t="n">
        <f aca="false">SUMIFS(Transactions!$E$4:$E$400,Transactions!$C$4:$C$400,$A19,Transactions!$F$4:$F$400,4)</f>
        <v>0</v>
      </c>
      <c r="D19" s="38" t="n">
        <f aca="false">C19-B19</f>
        <v>0</v>
      </c>
    </row>
    <row r="20" customFormat="false" ht="15" hidden="false" customHeight="false" outlineLevel="0" collapsed="false">
      <c r="A20" s="37" t="s">
        <v>41</v>
      </c>
      <c r="B20" s="32" t="n">
        <v>0</v>
      </c>
      <c r="C20" s="38" t="n">
        <f aca="false">SUMIFS(Transactions!$E$4:$E$400,Transactions!$C$4:$C$400,$A20,Transactions!$F$4:$F$400,4)</f>
        <v>0</v>
      </c>
      <c r="D20" s="38" t="n">
        <f aca="false">C20-B20</f>
        <v>0</v>
      </c>
    </row>
    <row r="21" customFormat="false" ht="15" hidden="false" customHeight="false" outlineLevel="0" collapsed="false">
      <c r="A21" s="37" t="s">
        <v>42</v>
      </c>
      <c r="B21" s="32" t="n">
        <v>0</v>
      </c>
      <c r="C21" s="38" t="n">
        <f aca="false">SUMIFS(Transactions!$E$4:$E$400,Transactions!$C$4:$C$400,$A21,Transactions!$F$4:$F$400,4)</f>
        <v>0</v>
      </c>
      <c r="D21" s="38" t="n">
        <f aca="false">C21-B21</f>
        <v>0</v>
      </c>
    </row>
    <row r="22" customFormat="false" ht="15" hidden="false" customHeight="false" outlineLevel="0" collapsed="false">
      <c r="A22" s="37" t="s">
        <v>43</v>
      </c>
      <c r="B22" s="32" t="n">
        <v>0</v>
      </c>
      <c r="C22" s="38" t="n">
        <f aca="false">SUMIFS(Transactions!$E$4:$E$400,Transactions!$C$4:$C$400,$A22,Transactions!$F$4:$F$400,4)</f>
        <v>0</v>
      </c>
      <c r="D22" s="38" t="n">
        <f aca="false">C22-B22</f>
        <v>0</v>
      </c>
    </row>
    <row r="23" customFormat="false" ht="15" hidden="false" customHeight="false" outlineLevel="0" collapsed="false">
      <c r="A23" s="34" t="s">
        <v>70</v>
      </c>
      <c r="B23" s="35" t="n">
        <f aca="false">SUM(B15:B22)</f>
        <v>0</v>
      </c>
      <c r="C23" s="35" t="n">
        <f aca="false">SUM(C15:C22)</f>
        <v>0</v>
      </c>
      <c r="D23" s="35" t="n">
        <f aca="false">SUM(D15:D22)</f>
        <v>0</v>
      </c>
    </row>
    <row r="25" customFormat="false" ht="18.75" hidden="false" customHeight="true" outlineLevel="0" collapsed="false">
      <c r="A25" s="39" t="s">
        <v>71</v>
      </c>
      <c r="B25" s="39"/>
      <c r="C25" s="39"/>
      <c r="D25" s="39"/>
    </row>
    <row r="26" customFormat="false" ht="15" hidden="false" customHeight="false" outlineLevel="0" collapsed="false">
      <c r="A26" s="40" t="s">
        <v>44</v>
      </c>
      <c r="B26" s="32" t="n">
        <v>0</v>
      </c>
      <c r="C26" s="41" t="n">
        <f aca="false">SUMIFS(Transactions!$E$4:$E$400,Transactions!$C$4:$C$400,$A26,Transactions!$F$4:$F$400,4)</f>
        <v>0</v>
      </c>
      <c r="D26" s="41" t="n">
        <f aca="false">C26-B26</f>
        <v>0</v>
      </c>
    </row>
    <row r="27" customFormat="false" ht="15" hidden="false" customHeight="false" outlineLevel="0" collapsed="false">
      <c r="A27" s="40" t="s">
        <v>45</v>
      </c>
      <c r="B27" s="32" t="n">
        <v>0</v>
      </c>
      <c r="C27" s="41" t="n">
        <f aca="false">SUMIFS(Transactions!$E$4:$E$400,Transactions!$C$4:$C$400,$A27,Transactions!$F$4:$F$400,4)</f>
        <v>0</v>
      </c>
      <c r="D27" s="41" t="n">
        <f aca="false">C27-B27</f>
        <v>0</v>
      </c>
    </row>
    <row r="28" customFormat="false" ht="15" hidden="false" customHeight="false" outlineLevel="0" collapsed="false">
      <c r="A28" s="40" t="s">
        <v>46</v>
      </c>
      <c r="B28" s="32" t="n">
        <v>0</v>
      </c>
      <c r="C28" s="41" t="n">
        <f aca="false">SUMIFS(Transactions!$E$4:$E$400,Transactions!$C$4:$C$400,$A28,Transactions!$F$4:$F$400,4)</f>
        <v>0</v>
      </c>
      <c r="D28" s="41" t="n">
        <f aca="false">C28-B28</f>
        <v>0</v>
      </c>
    </row>
    <row r="29" customFormat="false" ht="15" hidden="false" customHeight="false" outlineLevel="0" collapsed="false">
      <c r="A29" s="40" t="s">
        <v>47</v>
      </c>
      <c r="B29" s="32" t="n">
        <v>0</v>
      </c>
      <c r="C29" s="41" t="n">
        <f aca="false">SUMIFS(Transactions!$E$4:$E$400,Transactions!$C$4:$C$400,$A29,Transactions!$F$4:$F$400,4)</f>
        <v>0</v>
      </c>
      <c r="D29" s="41" t="n">
        <f aca="false">C29-B29</f>
        <v>0</v>
      </c>
    </row>
    <row r="30" customFormat="false" ht="15" hidden="false" customHeight="false" outlineLevel="0" collapsed="false">
      <c r="A30" s="40" t="s">
        <v>48</v>
      </c>
      <c r="B30" s="32" t="n">
        <v>0</v>
      </c>
      <c r="C30" s="41" t="n">
        <f aca="false">SUMIFS(Transactions!$E$4:$E$400,Transactions!$C$4:$C$400,$A30,Transactions!$F$4:$F$400,4)</f>
        <v>0</v>
      </c>
      <c r="D30" s="41" t="n">
        <f aca="false">C30-B30</f>
        <v>0</v>
      </c>
    </row>
    <row r="31" customFormat="false" ht="15" hidden="false" customHeight="false" outlineLevel="0" collapsed="false">
      <c r="A31" s="40" t="s">
        <v>49</v>
      </c>
      <c r="B31" s="32" t="n">
        <v>0</v>
      </c>
      <c r="C31" s="41" t="n">
        <f aca="false">SUMIFS(Transactions!$E$4:$E$400,Transactions!$C$4:$C$400,$A31,Transactions!$F$4:$F$400,4)</f>
        <v>0</v>
      </c>
      <c r="D31" s="41" t="n">
        <f aca="false">C31-B31</f>
        <v>0</v>
      </c>
    </row>
    <row r="32" customFormat="false" ht="15" hidden="false" customHeight="false" outlineLevel="0" collapsed="false">
      <c r="A32" s="40" t="s">
        <v>50</v>
      </c>
      <c r="B32" s="32" t="n">
        <v>0</v>
      </c>
      <c r="C32" s="41" t="n">
        <f aca="false">SUMIFS(Transactions!$E$4:$E$400,Transactions!$C$4:$C$400,$A32,Transactions!$F$4:$F$400,4)</f>
        <v>0</v>
      </c>
      <c r="D32" s="41" t="n">
        <f aca="false">C32-B32</f>
        <v>0</v>
      </c>
    </row>
    <row r="33" customFormat="false" ht="15" hidden="false" customHeight="false" outlineLevel="0" collapsed="false">
      <c r="A33" s="40" t="s">
        <v>51</v>
      </c>
      <c r="B33" s="32" t="n">
        <v>0</v>
      </c>
      <c r="C33" s="41" t="n">
        <f aca="false">SUMIFS(Transactions!$E$4:$E$400,Transactions!$C$4:$C$400,$A33,Transactions!$F$4:$F$400,4)</f>
        <v>0</v>
      </c>
      <c r="D33" s="41" t="n">
        <f aca="false">C33-B33</f>
        <v>0</v>
      </c>
    </row>
    <row r="34" customFormat="false" ht="15" hidden="false" customHeight="false" outlineLevel="0" collapsed="false">
      <c r="A34" s="40" t="s">
        <v>52</v>
      </c>
      <c r="B34" s="32" t="n">
        <v>0</v>
      </c>
      <c r="C34" s="41" t="n">
        <f aca="false">SUMIFS(Transactions!$E$4:$E$400,Transactions!$C$4:$C$400,$A34,Transactions!$F$4:$F$400,4)</f>
        <v>0</v>
      </c>
      <c r="D34" s="41" t="n">
        <f aca="false">C34-B34</f>
        <v>0</v>
      </c>
    </row>
    <row r="35" customFormat="false" ht="15" hidden="false" customHeight="false" outlineLevel="0" collapsed="false">
      <c r="A35" s="40" t="s">
        <v>53</v>
      </c>
      <c r="B35" s="32" t="n">
        <v>0</v>
      </c>
      <c r="C35" s="41" t="n">
        <f aca="false">SUMIFS(Transactions!$E$4:$E$400,Transactions!$C$4:$C$400,$A35,Transactions!$F$4:$F$400,4)</f>
        <v>0</v>
      </c>
      <c r="D35" s="41" t="n">
        <f aca="false">C35-B35</f>
        <v>0</v>
      </c>
    </row>
    <row r="36" customFormat="false" ht="15" hidden="false" customHeight="false" outlineLevel="0" collapsed="false">
      <c r="A36" s="40" t="s">
        <v>54</v>
      </c>
      <c r="B36" s="32" t="n">
        <v>0</v>
      </c>
      <c r="C36" s="41" t="n">
        <f aca="false">SUMIFS(Transactions!$E$4:$E$400,Transactions!$C$4:$C$400,$A36,Transactions!$F$4:$F$400,4)</f>
        <v>0</v>
      </c>
      <c r="D36" s="41" t="n">
        <f aca="false">C36-B36</f>
        <v>0</v>
      </c>
    </row>
    <row r="37" customFormat="false" ht="15" hidden="false" customHeight="false" outlineLevel="0" collapsed="false">
      <c r="A37" s="40" t="s">
        <v>55</v>
      </c>
      <c r="B37" s="32" t="n">
        <v>0</v>
      </c>
      <c r="C37" s="41" t="n">
        <f aca="false">SUMIFS(Transactions!$E$4:$E$400,Transactions!$C$4:$C$400,$A37,Transactions!$F$4:$F$400,4)</f>
        <v>0</v>
      </c>
      <c r="D37" s="41" t="n">
        <f aca="false">C37-B37</f>
        <v>0</v>
      </c>
    </row>
    <row r="38" customFormat="false" ht="15" hidden="false" customHeight="false" outlineLevel="0" collapsed="false">
      <c r="A38" s="34" t="s">
        <v>72</v>
      </c>
      <c r="B38" s="35" t="n">
        <f aca="false">SUM(B26:B37)</f>
        <v>0</v>
      </c>
      <c r="C38" s="35" t="n">
        <f aca="false">SUM(C26:C37)</f>
        <v>0</v>
      </c>
      <c r="D38" s="35" t="n">
        <f aca="false">SUM(D26:D37)</f>
        <v>0</v>
      </c>
    </row>
    <row r="40" customFormat="false" ht="18.75" hidden="false" customHeight="true" outlineLevel="0" collapsed="false">
      <c r="A40" s="42" t="s">
        <v>73</v>
      </c>
      <c r="B40" s="42"/>
      <c r="C40" s="42"/>
      <c r="D40" s="42"/>
    </row>
    <row r="41" customFormat="false" ht="15" hidden="false" customHeight="false" outlineLevel="0" collapsed="false">
      <c r="A41" s="43" t="s">
        <v>74</v>
      </c>
      <c r="B41" s="32" t="n">
        <v>0</v>
      </c>
      <c r="C41" s="44" t="n">
        <f aca="false">SUMIFS(Transactions!$E$4:$E$400,Transactions!$C$4:$C$400,$A41,Transactions!$F$4:$F$400,4)</f>
        <v>0</v>
      </c>
      <c r="D41" s="44" t="n">
        <f aca="false">C41-B41</f>
        <v>0</v>
      </c>
    </row>
    <row r="42" customFormat="false" ht="15" hidden="false" customHeight="false" outlineLevel="0" collapsed="false">
      <c r="A42" s="43" t="s">
        <v>75</v>
      </c>
      <c r="B42" s="32" t="n">
        <v>0</v>
      </c>
      <c r="C42" s="44" t="n">
        <f aca="false">SUMIFS(Transactions!$E$4:$E$400,Transactions!$C$4:$C$400,$A42,Transactions!$F$4:$F$400,4)</f>
        <v>0</v>
      </c>
      <c r="D42" s="44" t="n">
        <f aca="false">C42-B42</f>
        <v>0</v>
      </c>
    </row>
    <row r="43" customFormat="false" ht="15" hidden="false" customHeight="false" outlineLevel="0" collapsed="false">
      <c r="A43" s="43" t="s">
        <v>76</v>
      </c>
      <c r="B43" s="32" t="n">
        <v>0</v>
      </c>
      <c r="C43" s="44" t="n">
        <f aca="false">SUMIFS(Transactions!$E$4:$E$400,Transactions!$C$4:$C$400,$A43,Transactions!$F$4:$F$400,4)</f>
        <v>0</v>
      </c>
      <c r="D43" s="44" t="n">
        <f aca="false">C43-B43</f>
        <v>0</v>
      </c>
    </row>
    <row r="44" customFormat="false" ht="15" hidden="false" customHeight="false" outlineLevel="0" collapsed="false">
      <c r="A44" s="43" t="s">
        <v>77</v>
      </c>
      <c r="B44" s="32" t="n">
        <v>0</v>
      </c>
      <c r="C44" s="44" t="n">
        <f aca="false">SUMIFS(Transactions!$E$4:$E$400,Transactions!$C$4:$C$400,$A44,Transactions!$F$4:$F$400,4)</f>
        <v>0</v>
      </c>
      <c r="D44" s="44" t="n">
        <f aca="false">C44-B44</f>
        <v>0</v>
      </c>
    </row>
    <row r="45" customFormat="false" ht="15" hidden="false" customHeight="false" outlineLevel="0" collapsed="false">
      <c r="A45" s="43" t="s">
        <v>78</v>
      </c>
      <c r="B45" s="32" t="n">
        <v>0</v>
      </c>
      <c r="C45" s="44" t="n">
        <f aca="false">SUMIFS(Transactions!$E$4:$E$400,Transactions!$C$4:$C$400,$A45,Transactions!$F$4:$F$400,4)</f>
        <v>0</v>
      </c>
      <c r="D45" s="44" t="n">
        <f aca="false">C45-B45</f>
        <v>0</v>
      </c>
    </row>
    <row r="46" customFormat="false" ht="15" hidden="false" customHeight="false" outlineLevel="0" collapsed="false">
      <c r="A46" s="43" t="s">
        <v>79</v>
      </c>
      <c r="B46" s="32" t="n">
        <v>0</v>
      </c>
      <c r="C46" s="44" t="n">
        <f aca="false">SUMIFS(Transactions!$E$4:$E$400,Transactions!$C$4:$C$400,$A46,Transactions!$F$4:$F$400,4)</f>
        <v>0</v>
      </c>
      <c r="D46" s="44" t="n">
        <f aca="false">C46-B46</f>
        <v>0</v>
      </c>
    </row>
    <row r="47" customFormat="false" ht="15" hidden="false" customHeight="false" outlineLevel="0" collapsed="false">
      <c r="A47" s="34" t="s">
        <v>80</v>
      </c>
      <c r="B47" s="35" t="n">
        <f aca="false">SUM(B41:B46)</f>
        <v>0</v>
      </c>
      <c r="C47" s="35" t="n">
        <f aca="false">SUM(C41:C46)</f>
        <v>0</v>
      </c>
      <c r="D47" s="35" t="n">
        <f aca="false">SUM(D41:D46)</f>
        <v>0</v>
      </c>
    </row>
    <row r="49" customFormat="false" ht="18.75" hidden="false" customHeight="true" outlineLevel="0" collapsed="false">
      <c r="A49" s="45" t="s">
        <v>81</v>
      </c>
      <c r="B49" s="45"/>
      <c r="C49" s="45"/>
      <c r="D49" s="45"/>
    </row>
    <row r="50" customFormat="false" ht="15" hidden="false" customHeight="false" outlineLevel="0" collapsed="false">
      <c r="A50" s="46" t="s">
        <v>68</v>
      </c>
      <c r="B50" s="47" t="n">
        <f aca="false">B12</f>
        <v>0</v>
      </c>
      <c r="C50" s="47" t="n">
        <f aca="false">C12</f>
        <v>0</v>
      </c>
      <c r="D50" s="47" t="n">
        <f aca="false">C50-B50</f>
        <v>0</v>
      </c>
    </row>
    <row r="51" customFormat="false" ht="15" hidden="false" customHeight="false" outlineLevel="0" collapsed="false">
      <c r="A51" s="46" t="s">
        <v>82</v>
      </c>
      <c r="B51" s="47" t="n">
        <f aca="false">B23+B38</f>
        <v>0</v>
      </c>
      <c r="C51" s="47" t="n">
        <f aca="false">C23+C38</f>
        <v>0</v>
      </c>
      <c r="D51" s="47" t="n">
        <f aca="false">C51-B51</f>
        <v>0</v>
      </c>
    </row>
    <row r="52" customFormat="false" ht="15" hidden="false" customHeight="false" outlineLevel="0" collapsed="false">
      <c r="A52" s="46" t="s">
        <v>83</v>
      </c>
      <c r="B52" s="47" t="n">
        <f aca="false">B47</f>
        <v>0</v>
      </c>
      <c r="C52" s="47" t="n">
        <f aca="false">C47</f>
        <v>0</v>
      </c>
      <c r="D52" s="47" t="n">
        <f aca="false">C52-B52</f>
        <v>0</v>
      </c>
    </row>
    <row r="53" customFormat="false" ht="15" hidden="false" customHeight="false" outlineLevel="0" collapsed="false">
      <c r="A53" s="48" t="s">
        <v>84</v>
      </c>
      <c r="B53" s="49" t="n">
        <f aca="false">B50-B51-B52</f>
        <v>0</v>
      </c>
      <c r="C53" s="49" t="n">
        <f aca="false">C50-C51-C52</f>
        <v>0</v>
      </c>
      <c r="D53" s="49" t="n">
        <f aca="false">C53-B53</f>
        <v>0</v>
      </c>
    </row>
  </sheetData>
  <mergeCells count="7">
    <mergeCell ref="A1:D1"/>
    <mergeCell ref="A2:D2"/>
    <mergeCell ref="A5:D5"/>
    <mergeCell ref="A14:D14"/>
    <mergeCell ref="A25:D25"/>
    <mergeCell ref="A40:D40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62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"/>
  </cols>
  <sheetData>
    <row r="1" customFormat="false" ht="30" hidden="false" customHeight="true" outlineLevel="0" collapsed="false">
      <c r="A1" s="27" t="str">
        <f aca="false">"MAY"&amp;" "&amp;Welcome!$B$7&amp;" BUDGET"</f>
        <v>MAY 2026 BUDGET</v>
      </c>
      <c r="B1" s="27"/>
      <c r="C1" s="27"/>
      <c r="D1" s="27"/>
    </row>
    <row r="2" customFormat="false" ht="15" hidden="false" customHeight="false" outlineLevel="0" collapsed="false">
      <c r="A2" s="28" t="s">
        <v>56</v>
      </c>
      <c r="B2" s="28"/>
      <c r="C2" s="28"/>
      <c r="D2" s="28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</row>
    <row r="5" customFormat="false" ht="18.75" hidden="false" customHeight="true" outlineLevel="0" collapsed="false">
      <c r="A5" s="30" t="s">
        <v>61</v>
      </c>
      <c r="B5" s="30"/>
      <c r="C5" s="30"/>
      <c r="D5" s="30"/>
    </row>
    <row r="6" customFormat="false" ht="15" hidden="false" customHeight="false" outlineLevel="0" collapsed="false">
      <c r="A6" s="31" t="s">
        <v>62</v>
      </c>
      <c r="B6" s="32" t="n">
        <v>0</v>
      </c>
      <c r="C6" s="33" t="n">
        <f aca="false">SUMIFS(Transactions!$E$4:$E$400,Transactions!$C$4:$C$400,$A6,Transactions!$F$4:$F$400,5)</f>
        <v>0</v>
      </c>
      <c r="D6" s="33" t="n">
        <f aca="false">C6-B6</f>
        <v>0</v>
      </c>
    </row>
    <row r="7" customFormat="false" ht="15" hidden="false" customHeight="false" outlineLevel="0" collapsed="false">
      <c r="A7" s="31" t="s">
        <v>63</v>
      </c>
      <c r="B7" s="32" t="n">
        <v>0</v>
      </c>
      <c r="C7" s="33" t="n">
        <f aca="false">SUMIFS(Transactions!$E$4:$E$400,Transactions!$C$4:$C$400,$A7,Transactions!$F$4:$F$400,5)</f>
        <v>0</v>
      </c>
      <c r="D7" s="33" t="n">
        <f aca="false">C7-B7</f>
        <v>0</v>
      </c>
    </row>
    <row r="8" customFormat="false" ht="15" hidden="false" customHeight="false" outlineLevel="0" collapsed="false">
      <c r="A8" s="31" t="s">
        <v>64</v>
      </c>
      <c r="B8" s="32" t="n">
        <v>0</v>
      </c>
      <c r="C8" s="33" t="n">
        <f aca="false">SUMIFS(Transactions!$E$4:$E$400,Transactions!$C$4:$C$400,$A8,Transactions!$F$4:$F$400,5)</f>
        <v>0</v>
      </c>
      <c r="D8" s="33" t="n">
        <f aca="false">C8-B8</f>
        <v>0</v>
      </c>
    </row>
    <row r="9" customFormat="false" ht="15" hidden="false" customHeight="false" outlineLevel="0" collapsed="false">
      <c r="A9" s="31" t="s">
        <v>65</v>
      </c>
      <c r="B9" s="32" t="n">
        <v>0</v>
      </c>
      <c r="C9" s="33" t="n">
        <f aca="false">SUMIFS(Transactions!$E$4:$E$400,Transactions!$C$4:$C$400,$A9,Transactions!$F$4:$F$400,5)</f>
        <v>0</v>
      </c>
      <c r="D9" s="33" t="n">
        <f aca="false">C9-B9</f>
        <v>0</v>
      </c>
    </row>
    <row r="10" customFormat="false" ht="15" hidden="false" customHeight="false" outlineLevel="0" collapsed="false">
      <c r="A10" s="31" t="s">
        <v>66</v>
      </c>
      <c r="B10" s="32" t="n">
        <v>0</v>
      </c>
      <c r="C10" s="33" t="n">
        <f aca="false">SUMIFS(Transactions!$E$4:$E$400,Transactions!$C$4:$C$400,$A10,Transactions!$F$4:$F$400,5)</f>
        <v>0</v>
      </c>
      <c r="D10" s="33" t="n">
        <f aca="false">C10-B10</f>
        <v>0</v>
      </c>
    </row>
    <row r="11" customFormat="false" ht="15" hidden="false" customHeight="false" outlineLevel="0" collapsed="false">
      <c r="A11" s="31" t="s">
        <v>67</v>
      </c>
      <c r="B11" s="32" t="n">
        <v>0</v>
      </c>
      <c r="C11" s="33" t="n">
        <f aca="false">SUMIFS(Transactions!$E$4:$E$400,Transactions!$C$4:$C$400,$A11,Transactions!$F$4:$F$400,5)</f>
        <v>0</v>
      </c>
      <c r="D11" s="33" t="n">
        <f aca="false">C11-B11</f>
        <v>0</v>
      </c>
    </row>
    <row r="12" customFormat="false" ht="15" hidden="false" customHeight="false" outlineLevel="0" collapsed="false">
      <c r="A12" s="34" t="s">
        <v>68</v>
      </c>
      <c r="B12" s="35" t="n">
        <f aca="false">SUM(B6:B11)</f>
        <v>0</v>
      </c>
      <c r="C12" s="35" t="n">
        <f aca="false">SUM(C6:C11)</f>
        <v>0</v>
      </c>
      <c r="D12" s="35" t="n">
        <f aca="false">SUM(D6:D11)</f>
        <v>0</v>
      </c>
    </row>
    <row r="14" customFormat="false" ht="18.75" hidden="false" customHeight="true" outlineLevel="0" collapsed="false">
      <c r="A14" s="36" t="s">
        <v>69</v>
      </c>
      <c r="B14" s="36"/>
      <c r="C14" s="36"/>
      <c r="D14" s="36"/>
    </row>
    <row r="15" customFormat="false" ht="15" hidden="false" customHeight="false" outlineLevel="0" collapsed="false">
      <c r="A15" s="37" t="s">
        <v>36</v>
      </c>
      <c r="B15" s="32" t="n">
        <v>0</v>
      </c>
      <c r="C15" s="38" t="n">
        <f aca="false">SUMIFS(Transactions!$E$4:$E$400,Transactions!$C$4:$C$400,$A15,Transactions!$F$4:$F$400,5)</f>
        <v>0</v>
      </c>
      <c r="D15" s="38" t="n">
        <f aca="false">C15-B15</f>
        <v>0</v>
      </c>
    </row>
    <row r="16" customFormat="false" ht="15" hidden="false" customHeight="false" outlineLevel="0" collapsed="false">
      <c r="A16" s="37" t="s">
        <v>37</v>
      </c>
      <c r="B16" s="32" t="n">
        <v>0</v>
      </c>
      <c r="C16" s="38" t="n">
        <f aca="false">SUMIFS(Transactions!$E$4:$E$400,Transactions!$C$4:$C$400,$A16,Transactions!$F$4:$F$400,5)</f>
        <v>0</v>
      </c>
      <c r="D16" s="38" t="n">
        <f aca="false">C16-B16</f>
        <v>0</v>
      </c>
    </row>
    <row r="17" customFormat="false" ht="15" hidden="false" customHeight="false" outlineLevel="0" collapsed="false">
      <c r="A17" s="37" t="s">
        <v>38</v>
      </c>
      <c r="B17" s="32" t="n">
        <v>0</v>
      </c>
      <c r="C17" s="38" t="n">
        <f aca="false">SUMIFS(Transactions!$E$4:$E$400,Transactions!$C$4:$C$400,$A17,Transactions!$F$4:$F$400,5)</f>
        <v>0</v>
      </c>
      <c r="D17" s="38" t="n">
        <f aca="false">C17-B17</f>
        <v>0</v>
      </c>
    </row>
    <row r="18" customFormat="false" ht="15" hidden="false" customHeight="false" outlineLevel="0" collapsed="false">
      <c r="A18" s="37" t="s">
        <v>39</v>
      </c>
      <c r="B18" s="32" t="n">
        <v>0</v>
      </c>
      <c r="C18" s="38" t="n">
        <f aca="false">SUMIFS(Transactions!$E$4:$E$400,Transactions!$C$4:$C$400,$A18,Transactions!$F$4:$F$400,5)</f>
        <v>0</v>
      </c>
      <c r="D18" s="38" t="n">
        <f aca="false">C18-B18</f>
        <v>0</v>
      </c>
    </row>
    <row r="19" customFormat="false" ht="15" hidden="false" customHeight="false" outlineLevel="0" collapsed="false">
      <c r="A19" s="37" t="s">
        <v>40</v>
      </c>
      <c r="B19" s="32" t="n">
        <v>0</v>
      </c>
      <c r="C19" s="38" t="n">
        <f aca="false">SUMIFS(Transactions!$E$4:$E$400,Transactions!$C$4:$C$400,$A19,Transactions!$F$4:$F$400,5)</f>
        <v>0</v>
      </c>
      <c r="D19" s="38" t="n">
        <f aca="false">C19-B19</f>
        <v>0</v>
      </c>
    </row>
    <row r="20" customFormat="false" ht="15" hidden="false" customHeight="false" outlineLevel="0" collapsed="false">
      <c r="A20" s="37" t="s">
        <v>41</v>
      </c>
      <c r="B20" s="32" t="n">
        <v>0</v>
      </c>
      <c r="C20" s="38" t="n">
        <f aca="false">SUMIFS(Transactions!$E$4:$E$400,Transactions!$C$4:$C$400,$A20,Transactions!$F$4:$F$400,5)</f>
        <v>0</v>
      </c>
      <c r="D20" s="38" t="n">
        <f aca="false">C20-B20</f>
        <v>0</v>
      </c>
    </row>
    <row r="21" customFormat="false" ht="15" hidden="false" customHeight="false" outlineLevel="0" collapsed="false">
      <c r="A21" s="37" t="s">
        <v>42</v>
      </c>
      <c r="B21" s="32" t="n">
        <v>0</v>
      </c>
      <c r="C21" s="38" t="n">
        <f aca="false">SUMIFS(Transactions!$E$4:$E$400,Transactions!$C$4:$C$400,$A21,Transactions!$F$4:$F$400,5)</f>
        <v>0</v>
      </c>
      <c r="D21" s="38" t="n">
        <f aca="false">C21-B21</f>
        <v>0</v>
      </c>
    </row>
    <row r="22" customFormat="false" ht="15" hidden="false" customHeight="false" outlineLevel="0" collapsed="false">
      <c r="A22" s="37" t="s">
        <v>43</v>
      </c>
      <c r="B22" s="32" t="n">
        <v>0</v>
      </c>
      <c r="C22" s="38" t="n">
        <f aca="false">SUMIFS(Transactions!$E$4:$E$400,Transactions!$C$4:$C$400,$A22,Transactions!$F$4:$F$400,5)</f>
        <v>0</v>
      </c>
      <c r="D22" s="38" t="n">
        <f aca="false">C22-B22</f>
        <v>0</v>
      </c>
    </row>
    <row r="23" customFormat="false" ht="15" hidden="false" customHeight="false" outlineLevel="0" collapsed="false">
      <c r="A23" s="34" t="s">
        <v>70</v>
      </c>
      <c r="B23" s="35" t="n">
        <f aca="false">SUM(B15:B22)</f>
        <v>0</v>
      </c>
      <c r="C23" s="35" t="n">
        <f aca="false">SUM(C15:C22)</f>
        <v>0</v>
      </c>
      <c r="D23" s="35" t="n">
        <f aca="false">SUM(D15:D22)</f>
        <v>0</v>
      </c>
    </row>
    <row r="25" customFormat="false" ht="18.75" hidden="false" customHeight="true" outlineLevel="0" collapsed="false">
      <c r="A25" s="39" t="s">
        <v>71</v>
      </c>
      <c r="B25" s="39"/>
      <c r="C25" s="39"/>
      <c r="D25" s="39"/>
    </row>
    <row r="26" customFormat="false" ht="15" hidden="false" customHeight="false" outlineLevel="0" collapsed="false">
      <c r="A26" s="40" t="s">
        <v>44</v>
      </c>
      <c r="B26" s="32" t="n">
        <v>0</v>
      </c>
      <c r="C26" s="41" t="n">
        <f aca="false">SUMIFS(Transactions!$E$4:$E$400,Transactions!$C$4:$C$400,$A26,Transactions!$F$4:$F$400,5)</f>
        <v>0</v>
      </c>
      <c r="D26" s="41" t="n">
        <f aca="false">C26-B26</f>
        <v>0</v>
      </c>
    </row>
    <row r="27" customFormat="false" ht="15" hidden="false" customHeight="false" outlineLevel="0" collapsed="false">
      <c r="A27" s="40" t="s">
        <v>45</v>
      </c>
      <c r="B27" s="32" t="n">
        <v>0</v>
      </c>
      <c r="C27" s="41" t="n">
        <f aca="false">SUMIFS(Transactions!$E$4:$E$400,Transactions!$C$4:$C$400,$A27,Transactions!$F$4:$F$400,5)</f>
        <v>0</v>
      </c>
      <c r="D27" s="41" t="n">
        <f aca="false">C27-B27</f>
        <v>0</v>
      </c>
    </row>
    <row r="28" customFormat="false" ht="15" hidden="false" customHeight="false" outlineLevel="0" collapsed="false">
      <c r="A28" s="40" t="s">
        <v>46</v>
      </c>
      <c r="B28" s="32" t="n">
        <v>0</v>
      </c>
      <c r="C28" s="41" t="n">
        <f aca="false">SUMIFS(Transactions!$E$4:$E$400,Transactions!$C$4:$C$400,$A28,Transactions!$F$4:$F$400,5)</f>
        <v>0</v>
      </c>
      <c r="D28" s="41" t="n">
        <f aca="false">C28-B28</f>
        <v>0</v>
      </c>
    </row>
    <row r="29" customFormat="false" ht="15" hidden="false" customHeight="false" outlineLevel="0" collapsed="false">
      <c r="A29" s="40" t="s">
        <v>47</v>
      </c>
      <c r="B29" s="32" t="n">
        <v>0</v>
      </c>
      <c r="C29" s="41" t="n">
        <f aca="false">SUMIFS(Transactions!$E$4:$E$400,Transactions!$C$4:$C$400,$A29,Transactions!$F$4:$F$400,5)</f>
        <v>0</v>
      </c>
      <c r="D29" s="41" t="n">
        <f aca="false">C29-B29</f>
        <v>0</v>
      </c>
    </row>
    <row r="30" customFormat="false" ht="15" hidden="false" customHeight="false" outlineLevel="0" collapsed="false">
      <c r="A30" s="40" t="s">
        <v>48</v>
      </c>
      <c r="B30" s="32" t="n">
        <v>0</v>
      </c>
      <c r="C30" s="41" t="n">
        <f aca="false">SUMIFS(Transactions!$E$4:$E$400,Transactions!$C$4:$C$400,$A30,Transactions!$F$4:$F$400,5)</f>
        <v>0</v>
      </c>
      <c r="D30" s="41" t="n">
        <f aca="false">C30-B30</f>
        <v>0</v>
      </c>
    </row>
    <row r="31" customFormat="false" ht="15" hidden="false" customHeight="false" outlineLevel="0" collapsed="false">
      <c r="A31" s="40" t="s">
        <v>49</v>
      </c>
      <c r="B31" s="32" t="n">
        <v>0</v>
      </c>
      <c r="C31" s="41" t="n">
        <f aca="false">SUMIFS(Transactions!$E$4:$E$400,Transactions!$C$4:$C$400,$A31,Transactions!$F$4:$F$400,5)</f>
        <v>0</v>
      </c>
      <c r="D31" s="41" t="n">
        <f aca="false">C31-B31</f>
        <v>0</v>
      </c>
    </row>
    <row r="32" customFormat="false" ht="15" hidden="false" customHeight="false" outlineLevel="0" collapsed="false">
      <c r="A32" s="40" t="s">
        <v>50</v>
      </c>
      <c r="B32" s="32" t="n">
        <v>0</v>
      </c>
      <c r="C32" s="41" t="n">
        <f aca="false">SUMIFS(Transactions!$E$4:$E$400,Transactions!$C$4:$C$400,$A32,Transactions!$F$4:$F$400,5)</f>
        <v>0</v>
      </c>
      <c r="D32" s="41" t="n">
        <f aca="false">C32-B32</f>
        <v>0</v>
      </c>
    </row>
    <row r="33" customFormat="false" ht="15" hidden="false" customHeight="false" outlineLevel="0" collapsed="false">
      <c r="A33" s="40" t="s">
        <v>51</v>
      </c>
      <c r="B33" s="32" t="n">
        <v>0</v>
      </c>
      <c r="C33" s="41" t="n">
        <f aca="false">SUMIFS(Transactions!$E$4:$E$400,Transactions!$C$4:$C$400,$A33,Transactions!$F$4:$F$400,5)</f>
        <v>0</v>
      </c>
      <c r="D33" s="41" t="n">
        <f aca="false">C33-B33</f>
        <v>0</v>
      </c>
    </row>
    <row r="34" customFormat="false" ht="15" hidden="false" customHeight="false" outlineLevel="0" collapsed="false">
      <c r="A34" s="40" t="s">
        <v>52</v>
      </c>
      <c r="B34" s="32" t="n">
        <v>0</v>
      </c>
      <c r="C34" s="41" t="n">
        <f aca="false">SUMIFS(Transactions!$E$4:$E$400,Transactions!$C$4:$C$400,$A34,Transactions!$F$4:$F$400,5)</f>
        <v>0</v>
      </c>
      <c r="D34" s="41" t="n">
        <f aca="false">C34-B34</f>
        <v>0</v>
      </c>
    </row>
    <row r="35" customFormat="false" ht="15" hidden="false" customHeight="false" outlineLevel="0" collapsed="false">
      <c r="A35" s="40" t="s">
        <v>53</v>
      </c>
      <c r="B35" s="32" t="n">
        <v>0</v>
      </c>
      <c r="C35" s="41" t="n">
        <f aca="false">SUMIFS(Transactions!$E$4:$E$400,Transactions!$C$4:$C$400,$A35,Transactions!$F$4:$F$400,5)</f>
        <v>0</v>
      </c>
      <c r="D35" s="41" t="n">
        <f aca="false">C35-B35</f>
        <v>0</v>
      </c>
    </row>
    <row r="36" customFormat="false" ht="15" hidden="false" customHeight="false" outlineLevel="0" collapsed="false">
      <c r="A36" s="40" t="s">
        <v>54</v>
      </c>
      <c r="B36" s="32" t="n">
        <v>0</v>
      </c>
      <c r="C36" s="41" t="n">
        <f aca="false">SUMIFS(Transactions!$E$4:$E$400,Transactions!$C$4:$C$400,$A36,Transactions!$F$4:$F$400,5)</f>
        <v>0</v>
      </c>
      <c r="D36" s="41" t="n">
        <f aca="false">C36-B36</f>
        <v>0</v>
      </c>
    </row>
    <row r="37" customFormat="false" ht="15" hidden="false" customHeight="false" outlineLevel="0" collapsed="false">
      <c r="A37" s="40" t="s">
        <v>55</v>
      </c>
      <c r="B37" s="32" t="n">
        <v>0</v>
      </c>
      <c r="C37" s="41" t="n">
        <f aca="false">SUMIFS(Transactions!$E$4:$E$400,Transactions!$C$4:$C$400,$A37,Transactions!$F$4:$F$400,5)</f>
        <v>0</v>
      </c>
      <c r="D37" s="41" t="n">
        <f aca="false">C37-B37</f>
        <v>0</v>
      </c>
    </row>
    <row r="38" customFormat="false" ht="15" hidden="false" customHeight="false" outlineLevel="0" collapsed="false">
      <c r="A38" s="34" t="s">
        <v>72</v>
      </c>
      <c r="B38" s="35" t="n">
        <f aca="false">SUM(B26:B37)</f>
        <v>0</v>
      </c>
      <c r="C38" s="35" t="n">
        <f aca="false">SUM(C26:C37)</f>
        <v>0</v>
      </c>
      <c r="D38" s="35" t="n">
        <f aca="false">SUM(D26:D37)</f>
        <v>0</v>
      </c>
    </row>
    <row r="40" customFormat="false" ht="18.75" hidden="false" customHeight="true" outlineLevel="0" collapsed="false">
      <c r="A40" s="42" t="s">
        <v>73</v>
      </c>
      <c r="B40" s="42"/>
      <c r="C40" s="42"/>
      <c r="D40" s="42"/>
    </row>
    <row r="41" customFormat="false" ht="15" hidden="false" customHeight="false" outlineLevel="0" collapsed="false">
      <c r="A41" s="43" t="s">
        <v>74</v>
      </c>
      <c r="B41" s="32" t="n">
        <v>0</v>
      </c>
      <c r="C41" s="44" t="n">
        <f aca="false">SUMIFS(Transactions!$E$4:$E$400,Transactions!$C$4:$C$400,$A41,Transactions!$F$4:$F$400,5)</f>
        <v>0</v>
      </c>
      <c r="D41" s="44" t="n">
        <f aca="false">C41-B41</f>
        <v>0</v>
      </c>
    </row>
    <row r="42" customFormat="false" ht="15" hidden="false" customHeight="false" outlineLevel="0" collapsed="false">
      <c r="A42" s="43" t="s">
        <v>75</v>
      </c>
      <c r="B42" s="32" t="n">
        <v>0</v>
      </c>
      <c r="C42" s="44" t="n">
        <f aca="false">SUMIFS(Transactions!$E$4:$E$400,Transactions!$C$4:$C$400,$A42,Transactions!$F$4:$F$400,5)</f>
        <v>0</v>
      </c>
      <c r="D42" s="44" t="n">
        <f aca="false">C42-B42</f>
        <v>0</v>
      </c>
    </row>
    <row r="43" customFormat="false" ht="15" hidden="false" customHeight="false" outlineLevel="0" collapsed="false">
      <c r="A43" s="43" t="s">
        <v>76</v>
      </c>
      <c r="B43" s="32" t="n">
        <v>0</v>
      </c>
      <c r="C43" s="44" t="n">
        <f aca="false">SUMIFS(Transactions!$E$4:$E$400,Transactions!$C$4:$C$400,$A43,Transactions!$F$4:$F$400,5)</f>
        <v>0</v>
      </c>
      <c r="D43" s="44" t="n">
        <f aca="false">C43-B43</f>
        <v>0</v>
      </c>
    </row>
    <row r="44" customFormat="false" ht="15" hidden="false" customHeight="false" outlineLevel="0" collapsed="false">
      <c r="A44" s="43" t="s">
        <v>77</v>
      </c>
      <c r="B44" s="32" t="n">
        <v>0</v>
      </c>
      <c r="C44" s="44" t="n">
        <f aca="false">SUMIFS(Transactions!$E$4:$E$400,Transactions!$C$4:$C$400,$A44,Transactions!$F$4:$F$400,5)</f>
        <v>0</v>
      </c>
      <c r="D44" s="44" t="n">
        <f aca="false">C44-B44</f>
        <v>0</v>
      </c>
    </row>
    <row r="45" customFormat="false" ht="15" hidden="false" customHeight="false" outlineLevel="0" collapsed="false">
      <c r="A45" s="43" t="s">
        <v>78</v>
      </c>
      <c r="B45" s="32" t="n">
        <v>0</v>
      </c>
      <c r="C45" s="44" t="n">
        <f aca="false">SUMIFS(Transactions!$E$4:$E$400,Transactions!$C$4:$C$400,$A45,Transactions!$F$4:$F$400,5)</f>
        <v>0</v>
      </c>
      <c r="D45" s="44" t="n">
        <f aca="false">C45-B45</f>
        <v>0</v>
      </c>
    </row>
    <row r="46" customFormat="false" ht="15" hidden="false" customHeight="false" outlineLevel="0" collapsed="false">
      <c r="A46" s="43" t="s">
        <v>79</v>
      </c>
      <c r="B46" s="32" t="n">
        <v>0</v>
      </c>
      <c r="C46" s="44" t="n">
        <f aca="false">SUMIFS(Transactions!$E$4:$E$400,Transactions!$C$4:$C$400,$A46,Transactions!$F$4:$F$400,5)</f>
        <v>0</v>
      </c>
      <c r="D46" s="44" t="n">
        <f aca="false">C46-B46</f>
        <v>0</v>
      </c>
    </row>
    <row r="47" customFormat="false" ht="15" hidden="false" customHeight="false" outlineLevel="0" collapsed="false">
      <c r="A47" s="34" t="s">
        <v>80</v>
      </c>
      <c r="B47" s="35" t="n">
        <f aca="false">SUM(B41:B46)</f>
        <v>0</v>
      </c>
      <c r="C47" s="35" t="n">
        <f aca="false">SUM(C41:C46)</f>
        <v>0</v>
      </c>
      <c r="D47" s="35" t="n">
        <f aca="false">SUM(D41:D46)</f>
        <v>0</v>
      </c>
    </row>
    <row r="49" customFormat="false" ht="18.75" hidden="false" customHeight="true" outlineLevel="0" collapsed="false">
      <c r="A49" s="45" t="s">
        <v>81</v>
      </c>
      <c r="B49" s="45"/>
      <c r="C49" s="45"/>
      <c r="D49" s="45"/>
    </row>
    <row r="50" customFormat="false" ht="15" hidden="false" customHeight="false" outlineLevel="0" collapsed="false">
      <c r="A50" s="46" t="s">
        <v>68</v>
      </c>
      <c r="B50" s="47" t="n">
        <f aca="false">B12</f>
        <v>0</v>
      </c>
      <c r="C50" s="47" t="n">
        <f aca="false">C12</f>
        <v>0</v>
      </c>
      <c r="D50" s="47" t="n">
        <f aca="false">C50-B50</f>
        <v>0</v>
      </c>
    </row>
    <row r="51" customFormat="false" ht="15" hidden="false" customHeight="false" outlineLevel="0" collapsed="false">
      <c r="A51" s="46" t="s">
        <v>82</v>
      </c>
      <c r="B51" s="47" t="n">
        <f aca="false">B23+B38</f>
        <v>0</v>
      </c>
      <c r="C51" s="47" t="n">
        <f aca="false">C23+C38</f>
        <v>0</v>
      </c>
      <c r="D51" s="47" t="n">
        <f aca="false">C51-B51</f>
        <v>0</v>
      </c>
    </row>
    <row r="52" customFormat="false" ht="15" hidden="false" customHeight="false" outlineLevel="0" collapsed="false">
      <c r="A52" s="46" t="s">
        <v>83</v>
      </c>
      <c r="B52" s="47" t="n">
        <f aca="false">B47</f>
        <v>0</v>
      </c>
      <c r="C52" s="47" t="n">
        <f aca="false">C47</f>
        <v>0</v>
      </c>
      <c r="D52" s="47" t="n">
        <f aca="false">C52-B52</f>
        <v>0</v>
      </c>
    </row>
    <row r="53" customFormat="false" ht="15" hidden="false" customHeight="false" outlineLevel="0" collapsed="false">
      <c r="A53" s="48" t="s">
        <v>84</v>
      </c>
      <c r="B53" s="49" t="n">
        <f aca="false">B50-B51-B52</f>
        <v>0</v>
      </c>
      <c r="C53" s="49" t="n">
        <f aca="false">C50-C51-C52</f>
        <v>0</v>
      </c>
      <c r="D53" s="49" t="n">
        <f aca="false">C53-B53</f>
        <v>0</v>
      </c>
    </row>
  </sheetData>
  <mergeCells count="7">
    <mergeCell ref="A1:D1"/>
    <mergeCell ref="A2:D2"/>
    <mergeCell ref="A5:D5"/>
    <mergeCell ref="A14:D14"/>
    <mergeCell ref="A25:D25"/>
    <mergeCell ref="A40:D40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"/>
  </cols>
  <sheetData>
    <row r="1" customFormat="false" ht="30" hidden="false" customHeight="true" outlineLevel="0" collapsed="false">
      <c r="A1" s="27" t="str">
        <f aca="false">"JUNE"&amp;" "&amp;Welcome!$B$7&amp;" BUDGET"</f>
        <v>JUNE 2026 BUDGET</v>
      </c>
      <c r="B1" s="27"/>
      <c r="C1" s="27"/>
      <c r="D1" s="27"/>
    </row>
    <row r="2" customFormat="false" ht="15" hidden="false" customHeight="false" outlineLevel="0" collapsed="false">
      <c r="A2" s="28" t="s">
        <v>56</v>
      </c>
      <c r="B2" s="28"/>
      <c r="C2" s="28"/>
      <c r="D2" s="28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</row>
    <row r="5" customFormat="false" ht="18.75" hidden="false" customHeight="true" outlineLevel="0" collapsed="false">
      <c r="A5" s="30" t="s">
        <v>61</v>
      </c>
      <c r="B5" s="30"/>
      <c r="C5" s="30"/>
      <c r="D5" s="30"/>
    </row>
    <row r="6" customFormat="false" ht="15" hidden="false" customHeight="false" outlineLevel="0" collapsed="false">
      <c r="A6" s="31" t="s">
        <v>62</v>
      </c>
      <c r="B6" s="32" t="n">
        <v>0</v>
      </c>
      <c r="C6" s="33" t="n">
        <f aca="false">SUMIFS(Transactions!$E$4:$E$400,Transactions!$C$4:$C$400,$A6,Transactions!$F$4:$F$400,6)</f>
        <v>0</v>
      </c>
      <c r="D6" s="33" t="n">
        <f aca="false">C6-B6</f>
        <v>0</v>
      </c>
    </row>
    <row r="7" customFormat="false" ht="15" hidden="false" customHeight="false" outlineLevel="0" collapsed="false">
      <c r="A7" s="31" t="s">
        <v>63</v>
      </c>
      <c r="B7" s="32" t="n">
        <v>0</v>
      </c>
      <c r="C7" s="33" t="n">
        <f aca="false">SUMIFS(Transactions!$E$4:$E$400,Transactions!$C$4:$C$400,$A7,Transactions!$F$4:$F$400,6)</f>
        <v>0</v>
      </c>
      <c r="D7" s="33" t="n">
        <f aca="false">C7-B7</f>
        <v>0</v>
      </c>
    </row>
    <row r="8" customFormat="false" ht="15" hidden="false" customHeight="false" outlineLevel="0" collapsed="false">
      <c r="A8" s="31" t="s">
        <v>64</v>
      </c>
      <c r="B8" s="32" t="n">
        <v>0</v>
      </c>
      <c r="C8" s="33" t="n">
        <f aca="false">SUMIFS(Transactions!$E$4:$E$400,Transactions!$C$4:$C$400,$A8,Transactions!$F$4:$F$400,6)</f>
        <v>0</v>
      </c>
      <c r="D8" s="33" t="n">
        <f aca="false">C8-B8</f>
        <v>0</v>
      </c>
    </row>
    <row r="9" customFormat="false" ht="15" hidden="false" customHeight="false" outlineLevel="0" collapsed="false">
      <c r="A9" s="31" t="s">
        <v>65</v>
      </c>
      <c r="B9" s="32" t="n">
        <v>0</v>
      </c>
      <c r="C9" s="33" t="n">
        <f aca="false">SUMIFS(Transactions!$E$4:$E$400,Transactions!$C$4:$C$400,$A9,Transactions!$F$4:$F$400,6)</f>
        <v>0</v>
      </c>
      <c r="D9" s="33" t="n">
        <f aca="false">C9-B9</f>
        <v>0</v>
      </c>
    </row>
    <row r="10" customFormat="false" ht="15" hidden="false" customHeight="false" outlineLevel="0" collapsed="false">
      <c r="A10" s="31" t="s">
        <v>66</v>
      </c>
      <c r="B10" s="32" t="n">
        <v>0</v>
      </c>
      <c r="C10" s="33" t="n">
        <f aca="false">SUMIFS(Transactions!$E$4:$E$400,Transactions!$C$4:$C$400,$A10,Transactions!$F$4:$F$400,6)</f>
        <v>0</v>
      </c>
      <c r="D10" s="33" t="n">
        <f aca="false">C10-B10</f>
        <v>0</v>
      </c>
    </row>
    <row r="11" customFormat="false" ht="15" hidden="false" customHeight="false" outlineLevel="0" collapsed="false">
      <c r="A11" s="31" t="s">
        <v>67</v>
      </c>
      <c r="B11" s="32" t="n">
        <v>0</v>
      </c>
      <c r="C11" s="33" t="n">
        <f aca="false">SUMIFS(Transactions!$E$4:$E$400,Transactions!$C$4:$C$400,$A11,Transactions!$F$4:$F$400,6)</f>
        <v>0</v>
      </c>
      <c r="D11" s="33" t="n">
        <f aca="false">C11-B11</f>
        <v>0</v>
      </c>
    </row>
    <row r="12" customFormat="false" ht="15" hidden="false" customHeight="false" outlineLevel="0" collapsed="false">
      <c r="A12" s="34" t="s">
        <v>68</v>
      </c>
      <c r="B12" s="35" t="n">
        <f aca="false">SUM(B6:B11)</f>
        <v>0</v>
      </c>
      <c r="C12" s="35" t="n">
        <f aca="false">SUM(C6:C11)</f>
        <v>0</v>
      </c>
      <c r="D12" s="35" t="n">
        <f aca="false">SUM(D6:D11)</f>
        <v>0</v>
      </c>
    </row>
    <row r="14" customFormat="false" ht="18.75" hidden="false" customHeight="true" outlineLevel="0" collapsed="false">
      <c r="A14" s="36" t="s">
        <v>69</v>
      </c>
      <c r="B14" s="36"/>
      <c r="C14" s="36"/>
      <c r="D14" s="36"/>
    </row>
    <row r="15" customFormat="false" ht="15" hidden="false" customHeight="false" outlineLevel="0" collapsed="false">
      <c r="A15" s="37" t="s">
        <v>36</v>
      </c>
      <c r="B15" s="32" t="n">
        <v>0</v>
      </c>
      <c r="C15" s="38" t="n">
        <f aca="false">SUMIFS(Transactions!$E$4:$E$400,Transactions!$C$4:$C$400,$A15,Transactions!$F$4:$F$400,6)</f>
        <v>0</v>
      </c>
      <c r="D15" s="38" t="n">
        <f aca="false">C15-B15</f>
        <v>0</v>
      </c>
    </row>
    <row r="16" customFormat="false" ht="15" hidden="false" customHeight="false" outlineLevel="0" collapsed="false">
      <c r="A16" s="37" t="s">
        <v>37</v>
      </c>
      <c r="B16" s="32" t="n">
        <v>0</v>
      </c>
      <c r="C16" s="38" t="n">
        <f aca="false">SUMIFS(Transactions!$E$4:$E$400,Transactions!$C$4:$C$400,$A16,Transactions!$F$4:$F$400,6)</f>
        <v>0</v>
      </c>
      <c r="D16" s="38" t="n">
        <f aca="false">C16-B16</f>
        <v>0</v>
      </c>
    </row>
    <row r="17" customFormat="false" ht="15" hidden="false" customHeight="false" outlineLevel="0" collapsed="false">
      <c r="A17" s="37" t="s">
        <v>38</v>
      </c>
      <c r="B17" s="32" t="n">
        <v>0</v>
      </c>
      <c r="C17" s="38" t="n">
        <f aca="false">SUMIFS(Transactions!$E$4:$E$400,Transactions!$C$4:$C$400,$A17,Transactions!$F$4:$F$400,6)</f>
        <v>0</v>
      </c>
      <c r="D17" s="38" t="n">
        <f aca="false">C17-B17</f>
        <v>0</v>
      </c>
    </row>
    <row r="18" customFormat="false" ht="15" hidden="false" customHeight="false" outlineLevel="0" collapsed="false">
      <c r="A18" s="37" t="s">
        <v>39</v>
      </c>
      <c r="B18" s="32" t="n">
        <v>0</v>
      </c>
      <c r="C18" s="38" t="n">
        <f aca="false">SUMIFS(Transactions!$E$4:$E$400,Transactions!$C$4:$C$400,$A18,Transactions!$F$4:$F$400,6)</f>
        <v>0</v>
      </c>
      <c r="D18" s="38" t="n">
        <f aca="false">C18-B18</f>
        <v>0</v>
      </c>
    </row>
    <row r="19" customFormat="false" ht="15" hidden="false" customHeight="false" outlineLevel="0" collapsed="false">
      <c r="A19" s="37" t="s">
        <v>40</v>
      </c>
      <c r="B19" s="32" t="n">
        <v>0</v>
      </c>
      <c r="C19" s="38" t="n">
        <f aca="false">SUMIFS(Transactions!$E$4:$E$400,Transactions!$C$4:$C$400,$A19,Transactions!$F$4:$F$400,6)</f>
        <v>0</v>
      </c>
      <c r="D19" s="38" t="n">
        <f aca="false">C19-B19</f>
        <v>0</v>
      </c>
    </row>
    <row r="20" customFormat="false" ht="15" hidden="false" customHeight="false" outlineLevel="0" collapsed="false">
      <c r="A20" s="37" t="s">
        <v>41</v>
      </c>
      <c r="B20" s="32" t="n">
        <v>0</v>
      </c>
      <c r="C20" s="38" t="n">
        <f aca="false">SUMIFS(Transactions!$E$4:$E$400,Transactions!$C$4:$C$400,$A20,Transactions!$F$4:$F$400,6)</f>
        <v>0</v>
      </c>
      <c r="D20" s="38" t="n">
        <f aca="false">C20-B20</f>
        <v>0</v>
      </c>
    </row>
    <row r="21" customFormat="false" ht="15" hidden="false" customHeight="false" outlineLevel="0" collapsed="false">
      <c r="A21" s="37" t="s">
        <v>42</v>
      </c>
      <c r="B21" s="32" t="n">
        <v>0</v>
      </c>
      <c r="C21" s="38" t="n">
        <f aca="false">SUMIFS(Transactions!$E$4:$E$400,Transactions!$C$4:$C$400,$A21,Transactions!$F$4:$F$400,6)</f>
        <v>0</v>
      </c>
      <c r="D21" s="38" t="n">
        <f aca="false">C21-B21</f>
        <v>0</v>
      </c>
    </row>
    <row r="22" customFormat="false" ht="15" hidden="false" customHeight="false" outlineLevel="0" collapsed="false">
      <c r="A22" s="37" t="s">
        <v>43</v>
      </c>
      <c r="B22" s="32" t="n">
        <v>0</v>
      </c>
      <c r="C22" s="38" t="n">
        <f aca="false">SUMIFS(Transactions!$E$4:$E$400,Transactions!$C$4:$C$400,$A22,Transactions!$F$4:$F$400,6)</f>
        <v>0</v>
      </c>
      <c r="D22" s="38" t="n">
        <f aca="false">C22-B22</f>
        <v>0</v>
      </c>
    </row>
    <row r="23" customFormat="false" ht="15" hidden="false" customHeight="false" outlineLevel="0" collapsed="false">
      <c r="A23" s="34" t="s">
        <v>70</v>
      </c>
      <c r="B23" s="35" t="n">
        <f aca="false">SUM(B15:B22)</f>
        <v>0</v>
      </c>
      <c r="C23" s="35" t="n">
        <f aca="false">SUM(C15:C22)</f>
        <v>0</v>
      </c>
      <c r="D23" s="35" t="n">
        <f aca="false">SUM(D15:D22)</f>
        <v>0</v>
      </c>
    </row>
    <row r="25" customFormat="false" ht="18.75" hidden="false" customHeight="true" outlineLevel="0" collapsed="false">
      <c r="A25" s="39" t="s">
        <v>71</v>
      </c>
      <c r="B25" s="39"/>
      <c r="C25" s="39"/>
      <c r="D25" s="39"/>
    </row>
    <row r="26" customFormat="false" ht="15" hidden="false" customHeight="false" outlineLevel="0" collapsed="false">
      <c r="A26" s="40" t="s">
        <v>44</v>
      </c>
      <c r="B26" s="32" t="n">
        <v>0</v>
      </c>
      <c r="C26" s="41" t="n">
        <f aca="false">SUMIFS(Transactions!$E$4:$E$400,Transactions!$C$4:$C$400,$A26,Transactions!$F$4:$F$400,6)</f>
        <v>0</v>
      </c>
      <c r="D26" s="41" t="n">
        <f aca="false">C26-B26</f>
        <v>0</v>
      </c>
    </row>
    <row r="27" customFormat="false" ht="15" hidden="false" customHeight="false" outlineLevel="0" collapsed="false">
      <c r="A27" s="40" t="s">
        <v>45</v>
      </c>
      <c r="B27" s="32" t="n">
        <v>0</v>
      </c>
      <c r="C27" s="41" t="n">
        <f aca="false">SUMIFS(Transactions!$E$4:$E$400,Transactions!$C$4:$C$400,$A27,Transactions!$F$4:$F$400,6)</f>
        <v>0</v>
      </c>
      <c r="D27" s="41" t="n">
        <f aca="false">C27-B27</f>
        <v>0</v>
      </c>
    </row>
    <row r="28" customFormat="false" ht="15" hidden="false" customHeight="false" outlineLevel="0" collapsed="false">
      <c r="A28" s="40" t="s">
        <v>46</v>
      </c>
      <c r="B28" s="32" t="n">
        <v>0</v>
      </c>
      <c r="C28" s="41" t="n">
        <f aca="false">SUMIFS(Transactions!$E$4:$E$400,Transactions!$C$4:$C$400,$A28,Transactions!$F$4:$F$400,6)</f>
        <v>0</v>
      </c>
      <c r="D28" s="41" t="n">
        <f aca="false">C28-B28</f>
        <v>0</v>
      </c>
    </row>
    <row r="29" customFormat="false" ht="15" hidden="false" customHeight="false" outlineLevel="0" collapsed="false">
      <c r="A29" s="40" t="s">
        <v>47</v>
      </c>
      <c r="B29" s="32" t="n">
        <v>0</v>
      </c>
      <c r="C29" s="41" t="n">
        <f aca="false">SUMIFS(Transactions!$E$4:$E$400,Transactions!$C$4:$C$400,$A29,Transactions!$F$4:$F$400,6)</f>
        <v>0</v>
      </c>
      <c r="D29" s="41" t="n">
        <f aca="false">C29-B29</f>
        <v>0</v>
      </c>
    </row>
    <row r="30" customFormat="false" ht="15" hidden="false" customHeight="false" outlineLevel="0" collapsed="false">
      <c r="A30" s="40" t="s">
        <v>48</v>
      </c>
      <c r="B30" s="32" t="n">
        <v>0</v>
      </c>
      <c r="C30" s="41" t="n">
        <f aca="false">SUMIFS(Transactions!$E$4:$E$400,Transactions!$C$4:$C$400,$A30,Transactions!$F$4:$F$400,6)</f>
        <v>0</v>
      </c>
      <c r="D30" s="41" t="n">
        <f aca="false">C30-B30</f>
        <v>0</v>
      </c>
    </row>
    <row r="31" customFormat="false" ht="15" hidden="false" customHeight="false" outlineLevel="0" collapsed="false">
      <c r="A31" s="40" t="s">
        <v>49</v>
      </c>
      <c r="B31" s="32" t="n">
        <v>0</v>
      </c>
      <c r="C31" s="41" t="n">
        <f aca="false">SUMIFS(Transactions!$E$4:$E$400,Transactions!$C$4:$C$400,$A31,Transactions!$F$4:$F$400,6)</f>
        <v>0</v>
      </c>
      <c r="D31" s="41" t="n">
        <f aca="false">C31-B31</f>
        <v>0</v>
      </c>
    </row>
    <row r="32" customFormat="false" ht="15" hidden="false" customHeight="false" outlineLevel="0" collapsed="false">
      <c r="A32" s="40" t="s">
        <v>50</v>
      </c>
      <c r="B32" s="32" t="n">
        <v>0</v>
      </c>
      <c r="C32" s="41" t="n">
        <f aca="false">SUMIFS(Transactions!$E$4:$E$400,Transactions!$C$4:$C$400,$A32,Transactions!$F$4:$F$400,6)</f>
        <v>0</v>
      </c>
      <c r="D32" s="41" t="n">
        <f aca="false">C32-B32</f>
        <v>0</v>
      </c>
    </row>
    <row r="33" customFormat="false" ht="15" hidden="false" customHeight="false" outlineLevel="0" collapsed="false">
      <c r="A33" s="40" t="s">
        <v>51</v>
      </c>
      <c r="B33" s="32" t="n">
        <v>0</v>
      </c>
      <c r="C33" s="41" t="n">
        <f aca="false">SUMIFS(Transactions!$E$4:$E$400,Transactions!$C$4:$C$400,$A33,Transactions!$F$4:$F$400,6)</f>
        <v>0</v>
      </c>
      <c r="D33" s="41" t="n">
        <f aca="false">C33-B33</f>
        <v>0</v>
      </c>
    </row>
    <row r="34" customFormat="false" ht="15" hidden="false" customHeight="false" outlineLevel="0" collapsed="false">
      <c r="A34" s="40" t="s">
        <v>52</v>
      </c>
      <c r="B34" s="32" t="n">
        <v>0</v>
      </c>
      <c r="C34" s="41" t="n">
        <f aca="false">SUMIFS(Transactions!$E$4:$E$400,Transactions!$C$4:$C$400,$A34,Transactions!$F$4:$F$400,6)</f>
        <v>0</v>
      </c>
      <c r="D34" s="41" t="n">
        <f aca="false">C34-B34</f>
        <v>0</v>
      </c>
    </row>
    <row r="35" customFormat="false" ht="15" hidden="false" customHeight="false" outlineLevel="0" collapsed="false">
      <c r="A35" s="40" t="s">
        <v>53</v>
      </c>
      <c r="B35" s="32" t="n">
        <v>0</v>
      </c>
      <c r="C35" s="41" t="n">
        <f aca="false">SUMIFS(Transactions!$E$4:$E$400,Transactions!$C$4:$C$400,$A35,Transactions!$F$4:$F$400,6)</f>
        <v>0</v>
      </c>
      <c r="D35" s="41" t="n">
        <f aca="false">C35-B35</f>
        <v>0</v>
      </c>
    </row>
    <row r="36" customFormat="false" ht="15" hidden="false" customHeight="false" outlineLevel="0" collapsed="false">
      <c r="A36" s="40" t="s">
        <v>54</v>
      </c>
      <c r="B36" s="32" t="n">
        <v>0</v>
      </c>
      <c r="C36" s="41" t="n">
        <f aca="false">SUMIFS(Transactions!$E$4:$E$400,Transactions!$C$4:$C$400,$A36,Transactions!$F$4:$F$400,6)</f>
        <v>0</v>
      </c>
      <c r="D36" s="41" t="n">
        <f aca="false">C36-B36</f>
        <v>0</v>
      </c>
    </row>
    <row r="37" customFormat="false" ht="15" hidden="false" customHeight="false" outlineLevel="0" collapsed="false">
      <c r="A37" s="40" t="s">
        <v>55</v>
      </c>
      <c r="B37" s="32" t="n">
        <v>0</v>
      </c>
      <c r="C37" s="41" t="n">
        <f aca="false">SUMIFS(Transactions!$E$4:$E$400,Transactions!$C$4:$C$400,$A37,Transactions!$F$4:$F$400,6)</f>
        <v>0</v>
      </c>
      <c r="D37" s="41" t="n">
        <f aca="false">C37-B37</f>
        <v>0</v>
      </c>
    </row>
    <row r="38" customFormat="false" ht="15" hidden="false" customHeight="false" outlineLevel="0" collapsed="false">
      <c r="A38" s="34" t="s">
        <v>72</v>
      </c>
      <c r="B38" s="35" t="n">
        <f aca="false">SUM(B26:B37)</f>
        <v>0</v>
      </c>
      <c r="C38" s="35" t="n">
        <f aca="false">SUM(C26:C37)</f>
        <v>0</v>
      </c>
      <c r="D38" s="35" t="n">
        <f aca="false">SUM(D26:D37)</f>
        <v>0</v>
      </c>
    </row>
    <row r="40" customFormat="false" ht="18.75" hidden="false" customHeight="true" outlineLevel="0" collapsed="false">
      <c r="A40" s="42" t="s">
        <v>73</v>
      </c>
      <c r="B40" s="42"/>
      <c r="C40" s="42"/>
      <c r="D40" s="42"/>
    </row>
    <row r="41" customFormat="false" ht="15" hidden="false" customHeight="false" outlineLevel="0" collapsed="false">
      <c r="A41" s="43" t="s">
        <v>74</v>
      </c>
      <c r="B41" s="32" t="n">
        <v>0</v>
      </c>
      <c r="C41" s="44" t="n">
        <f aca="false">SUMIFS(Transactions!$E$4:$E$400,Transactions!$C$4:$C$400,$A41,Transactions!$F$4:$F$400,6)</f>
        <v>0</v>
      </c>
      <c r="D41" s="44" t="n">
        <f aca="false">C41-B41</f>
        <v>0</v>
      </c>
    </row>
    <row r="42" customFormat="false" ht="15" hidden="false" customHeight="false" outlineLevel="0" collapsed="false">
      <c r="A42" s="43" t="s">
        <v>75</v>
      </c>
      <c r="B42" s="32" t="n">
        <v>0</v>
      </c>
      <c r="C42" s="44" t="n">
        <f aca="false">SUMIFS(Transactions!$E$4:$E$400,Transactions!$C$4:$C$400,$A42,Transactions!$F$4:$F$400,6)</f>
        <v>0</v>
      </c>
      <c r="D42" s="44" t="n">
        <f aca="false">C42-B42</f>
        <v>0</v>
      </c>
    </row>
    <row r="43" customFormat="false" ht="15" hidden="false" customHeight="false" outlineLevel="0" collapsed="false">
      <c r="A43" s="43" t="s">
        <v>76</v>
      </c>
      <c r="B43" s="32" t="n">
        <v>0</v>
      </c>
      <c r="C43" s="44" t="n">
        <f aca="false">SUMIFS(Transactions!$E$4:$E$400,Transactions!$C$4:$C$400,$A43,Transactions!$F$4:$F$400,6)</f>
        <v>0</v>
      </c>
      <c r="D43" s="44" t="n">
        <f aca="false">C43-B43</f>
        <v>0</v>
      </c>
    </row>
    <row r="44" customFormat="false" ht="15" hidden="false" customHeight="false" outlineLevel="0" collapsed="false">
      <c r="A44" s="43" t="s">
        <v>77</v>
      </c>
      <c r="B44" s="32" t="n">
        <v>0</v>
      </c>
      <c r="C44" s="44" t="n">
        <f aca="false">SUMIFS(Transactions!$E$4:$E$400,Transactions!$C$4:$C$400,$A44,Transactions!$F$4:$F$400,6)</f>
        <v>0</v>
      </c>
      <c r="D44" s="44" t="n">
        <f aca="false">C44-B44</f>
        <v>0</v>
      </c>
    </row>
    <row r="45" customFormat="false" ht="15" hidden="false" customHeight="false" outlineLevel="0" collapsed="false">
      <c r="A45" s="43" t="s">
        <v>78</v>
      </c>
      <c r="B45" s="32" t="n">
        <v>0</v>
      </c>
      <c r="C45" s="44" t="n">
        <f aca="false">SUMIFS(Transactions!$E$4:$E$400,Transactions!$C$4:$C$400,$A45,Transactions!$F$4:$F$400,6)</f>
        <v>0</v>
      </c>
      <c r="D45" s="44" t="n">
        <f aca="false">C45-B45</f>
        <v>0</v>
      </c>
    </row>
    <row r="46" customFormat="false" ht="15" hidden="false" customHeight="false" outlineLevel="0" collapsed="false">
      <c r="A46" s="43" t="s">
        <v>79</v>
      </c>
      <c r="B46" s="32" t="n">
        <v>0</v>
      </c>
      <c r="C46" s="44" t="n">
        <f aca="false">SUMIFS(Transactions!$E$4:$E$400,Transactions!$C$4:$C$400,$A46,Transactions!$F$4:$F$400,6)</f>
        <v>0</v>
      </c>
      <c r="D46" s="44" t="n">
        <f aca="false">C46-B46</f>
        <v>0</v>
      </c>
    </row>
    <row r="47" customFormat="false" ht="15" hidden="false" customHeight="false" outlineLevel="0" collapsed="false">
      <c r="A47" s="34" t="s">
        <v>80</v>
      </c>
      <c r="B47" s="35" t="n">
        <f aca="false">SUM(B41:B46)</f>
        <v>0</v>
      </c>
      <c r="C47" s="35" t="n">
        <f aca="false">SUM(C41:C46)</f>
        <v>0</v>
      </c>
      <c r="D47" s="35" t="n">
        <f aca="false">SUM(D41:D46)</f>
        <v>0</v>
      </c>
    </row>
    <row r="49" customFormat="false" ht="18.75" hidden="false" customHeight="true" outlineLevel="0" collapsed="false">
      <c r="A49" s="45" t="s">
        <v>81</v>
      </c>
      <c r="B49" s="45"/>
      <c r="C49" s="45"/>
      <c r="D49" s="45"/>
    </row>
    <row r="50" customFormat="false" ht="15" hidden="false" customHeight="false" outlineLevel="0" collapsed="false">
      <c r="A50" s="46" t="s">
        <v>68</v>
      </c>
      <c r="B50" s="47" t="n">
        <f aca="false">B12</f>
        <v>0</v>
      </c>
      <c r="C50" s="47" t="n">
        <f aca="false">C12</f>
        <v>0</v>
      </c>
      <c r="D50" s="47" t="n">
        <f aca="false">C50-B50</f>
        <v>0</v>
      </c>
    </row>
    <row r="51" customFormat="false" ht="15" hidden="false" customHeight="false" outlineLevel="0" collapsed="false">
      <c r="A51" s="46" t="s">
        <v>82</v>
      </c>
      <c r="B51" s="47" t="n">
        <f aca="false">B23+B38</f>
        <v>0</v>
      </c>
      <c r="C51" s="47" t="n">
        <f aca="false">C23+C38</f>
        <v>0</v>
      </c>
      <c r="D51" s="47" t="n">
        <f aca="false">C51-B51</f>
        <v>0</v>
      </c>
    </row>
    <row r="52" customFormat="false" ht="15" hidden="false" customHeight="false" outlineLevel="0" collapsed="false">
      <c r="A52" s="46" t="s">
        <v>83</v>
      </c>
      <c r="B52" s="47" t="n">
        <f aca="false">B47</f>
        <v>0</v>
      </c>
      <c r="C52" s="47" t="n">
        <f aca="false">C47</f>
        <v>0</v>
      </c>
      <c r="D52" s="47" t="n">
        <f aca="false">C52-B52</f>
        <v>0</v>
      </c>
    </row>
    <row r="53" customFormat="false" ht="15" hidden="false" customHeight="false" outlineLevel="0" collapsed="false">
      <c r="A53" s="48" t="s">
        <v>84</v>
      </c>
      <c r="B53" s="49" t="n">
        <f aca="false">B50-B51-B52</f>
        <v>0</v>
      </c>
      <c r="C53" s="49" t="n">
        <f aca="false">C50-C51-C52</f>
        <v>0</v>
      </c>
      <c r="D53" s="49" t="n">
        <f aca="false">C53-B53</f>
        <v>0</v>
      </c>
    </row>
  </sheetData>
  <mergeCells count="7">
    <mergeCell ref="A1:D1"/>
    <mergeCell ref="A2:D2"/>
    <mergeCell ref="A5:D5"/>
    <mergeCell ref="A14:D14"/>
    <mergeCell ref="A25:D25"/>
    <mergeCell ref="A40:D40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62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"/>
  </cols>
  <sheetData>
    <row r="1" customFormat="false" ht="30" hidden="false" customHeight="true" outlineLevel="0" collapsed="false">
      <c r="A1" s="27" t="str">
        <f aca="false">"JULY"&amp;" "&amp;Welcome!$B$7&amp;" BUDGET"</f>
        <v>JULY 2026 BUDGET</v>
      </c>
      <c r="B1" s="27"/>
      <c r="C1" s="27"/>
      <c r="D1" s="27"/>
    </row>
    <row r="2" customFormat="false" ht="15" hidden="false" customHeight="false" outlineLevel="0" collapsed="false">
      <c r="A2" s="28" t="s">
        <v>56</v>
      </c>
      <c r="B2" s="28"/>
      <c r="C2" s="28"/>
      <c r="D2" s="28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</row>
    <row r="5" customFormat="false" ht="18.75" hidden="false" customHeight="true" outlineLevel="0" collapsed="false">
      <c r="A5" s="30" t="s">
        <v>61</v>
      </c>
      <c r="B5" s="30"/>
      <c r="C5" s="30"/>
      <c r="D5" s="30"/>
    </row>
    <row r="6" customFormat="false" ht="15" hidden="false" customHeight="false" outlineLevel="0" collapsed="false">
      <c r="A6" s="31" t="s">
        <v>62</v>
      </c>
      <c r="B6" s="32" t="n">
        <v>0</v>
      </c>
      <c r="C6" s="33" t="n">
        <f aca="false">SUMIFS(Transactions!$E$4:$E$400,Transactions!$C$4:$C$400,$A6,Transactions!$F$4:$F$400,7)</f>
        <v>0</v>
      </c>
      <c r="D6" s="33" t="n">
        <f aca="false">C6-B6</f>
        <v>0</v>
      </c>
    </row>
    <row r="7" customFormat="false" ht="15" hidden="false" customHeight="false" outlineLevel="0" collapsed="false">
      <c r="A7" s="31" t="s">
        <v>63</v>
      </c>
      <c r="B7" s="32" t="n">
        <v>0</v>
      </c>
      <c r="C7" s="33" t="n">
        <f aca="false">SUMIFS(Transactions!$E$4:$E$400,Transactions!$C$4:$C$400,$A7,Transactions!$F$4:$F$400,7)</f>
        <v>0</v>
      </c>
      <c r="D7" s="33" t="n">
        <f aca="false">C7-B7</f>
        <v>0</v>
      </c>
    </row>
    <row r="8" customFormat="false" ht="15" hidden="false" customHeight="false" outlineLevel="0" collapsed="false">
      <c r="A8" s="31" t="s">
        <v>64</v>
      </c>
      <c r="B8" s="32" t="n">
        <v>0</v>
      </c>
      <c r="C8" s="33" t="n">
        <f aca="false">SUMIFS(Transactions!$E$4:$E$400,Transactions!$C$4:$C$400,$A8,Transactions!$F$4:$F$400,7)</f>
        <v>0</v>
      </c>
      <c r="D8" s="33" t="n">
        <f aca="false">C8-B8</f>
        <v>0</v>
      </c>
    </row>
    <row r="9" customFormat="false" ht="15" hidden="false" customHeight="false" outlineLevel="0" collapsed="false">
      <c r="A9" s="31" t="s">
        <v>65</v>
      </c>
      <c r="B9" s="32" t="n">
        <v>0</v>
      </c>
      <c r="C9" s="33" t="n">
        <f aca="false">SUMIFS(Transactions!$E$4:$E$400,Transactions!$C$4:$C$400,$A9,Transactions!$F$4:$F$400,7)</f>
        <v>0</v>
      </c>
      <c r="D9" s="33" t="n">
        <f aca="false">C9-B9</f>
        <v>0</v>
      </c>
    </row>
    <row r="10" customFormat="false" ht="15" hidden="false" customHeight="false" outlineLevel="0" collapsed="false">
      <c r="A10" s="31" t="s">
        <v>66</v>
      </c>
      <c r="B10" s="32" t="n">
        <v>0</v>
      </c>
      <c r="C10" s="33" t="n">
        <f aca="false">SUMIFS(Transactions!$E$4:$E$400,Transactions!$C$4:$C$400,$A10,Transactions!$F$4:$F$400,7)</f>
        <v>0</v>
      </c>
      <c r="D10" s="33" t="n">
        <f aca="false">C10-B10</f>
        <v>0</v>
      </c>
    </row>
    <row r="11" customFormat="false" ht="15" hidden="false" customHeight="false" outlineLevel="0" collapsed="false">
      <c r="A11" s="31" t="s">
        <v>67</v>
      </c>
      <c r="B11" s="32" t="n">
        <v>0</v>
      </c>
      <c r="C11" s="33" t="n">
        <f aca="false">SUMIFS(Transactions!$E$4:$E$400,Transactions!$C$4:$C$400,$A11,Transactions!$F$4:$F$400,7)</f>
        <v>0</v>
      </c>
      <c r="D11" s="33" t="n">
        <f aca="false">C11-B11</f>
        <v>0</v>
      </c>
    </row>
    <row r="12" customFormat="false" ht="15" hidden="false" customHeight="false" outlineLevel="0" collapsed="false">
      <c r="A12" s="34" t="s">
        <v>68</v>
      </c>
      <c r="B12" s="35" t="n">
        <f aca="false">SUM(B6:B11)</f>
        <v>0</v>
      </c>
      <c r="C12" s="35" t="n">
        <f aca="false">SUM(C6:C11)</f>
        <v>0</v>
      </c>
      <c r="D12" s="35" t="n">
        <f aca="false">SUM(D6:D11)</f>
        <v>0</v>
      </c>
    </row>
    <row r="14" customFormat="false" ht="18.75" hidden="false" customHeight="true" outlineLevel="0" collapsed="false">
      <c r="A14" s="36" t="s">
        <v>69</v>
      </c>
      <c r="B14" s="36"/>
      <c r="C14" s="36"/>
      <c r="D14" s="36"/>
    </row>
    <row r="15" customFormat="false" ht="15" hidden="false" customHeight="false" outlineLevel="0" collapsed="false">
      <c r="A15" s="37" t="s">
        <v>36</v>
      </c>
      <c r="B15" s="32" t="n">
        <v>0</v>
      </c>
      <c r="C15" s="38" t="n">
        <f aca="false">SUMIFS(Transactions!$E$4:$E$400,Transactions!$C$4:$C$400,$A15,Transactions!$F$4:$F$400,7)</f>
        <v>0</v>
      </c>
      <c r="D15" s="38" t="n">
        <f aca="false">C15-B15</f>
        <v>0</v>
      </c>
    </row>
    <row r="16" customFormat="false" ht="15" hidden="false" customHeight="false" outlineLevel="0" collapsed="false">
      <c r="A16" s="37" t="s">
        <v>37</v>
      </c>
      <c r="B16" s="32" t="n">
        <v>0</v>
      </c>
      <c r="C16" s="38" t="n">
        <f aca="false">SUMIFS(Transactions!$E$4:$E$400,Transactions!$C$4:$C$400,$A16,Transactions!$F$4:$F$400,7)</f>
        <v>0</v>
      </c>
      <c r="D16" s="38" t="n">
        <f aca="false">C16-B16</f>
        <v>0</v>
      </c>
    </row>
    <row r="17" customFormat="false" ht="15" hidden="false" customHeight="false" outlineLevel="0" collapsed="false">
      <c r="A17" s="37" t="s">
        <v>38</v>
      </c>
      <c r="B17" s="32" t="n">
        <v>0</v>
      </c>
      <c r="C17" s="38" t="n">
        <f aca="false">SUMIFS(Transactions!$E$4:$E$400,Transactions!$C$4:$C$400,$A17,Transactions!$F$4:$F$400,7)</f>
        <v>0</v>
      </c>
      <c r="D17" s="38" t="n">
        <f aca="false">C17-B17</f>
        <v>0</v>
      </c>
    </row>
    <row r="18" customFormat="false" ht="15" hidden="false" customHeight="false" outlineLevel="0" collapsed="false">
      <c r="A18" s="37" t="s">
        <v>39</v>
      </c>
      <c r="B18" s="32" t="n">
        <v>0</v>
      </c>
      <c r="C18" s="38" t="n">
        <f aca="false">SUMIFS(Transactions!$E$4:$E$400,Transactions!$C$4:$C$400,$A18,Transactions!$F$4:$F$400,7)</f>
        <v>0</v>
      </c>
      <c r="D18" s="38" t="n">
        <f aca="false">C18-B18</f>
        <v>0</v>
      </c>
    </row>
    <row r="19" customFormat="false" ht="15" hidden="false" customHeight="false" outlineLevel="0" collapsed="false">
      <c r="A19" s="37" t="s">
        <v>40</v>
      </c>
      <c r="B19" s="32" t="n">
        <v>0</v>
      </c>
      <c r="C19" s="38" t="n">
        <f aca="false">SUMIFS(Transactions!$E$4:$E$400,Transactions!$C$4:$C$400,$A19,Transactions!$F$4:$F$400,7)</f>
        <v>0</v>
      </c>
      <c r="D19" s="38" t="n">
        <f aca="false">C19-B19</f>
        <v>0</v>
      </c>
    </row>
    <row r="20" customFormat="false" ht="15" hidden="false" customHeight="false" outlineLevel="0" collapsed="false">
      <c r="A20" s="37" t="s">
        <v>41</v>
      </c>
      <c r="B20" s="32" t="n">
        <v>0</v>
      </c>
      <c r="C20" s="38" t="n">
        <f aca="false">SUMIFS(Transactions!$E$4:$E$400,Transactions!$C$4:$C$400,$A20,Transactions!$F$4:$F$400,7)</f>
        <v>0</v>
      </c>
      <c r="D20" s="38" t="n">
        <f aca="false">C20-B20</f>
        <v>0</v>
      </c>
    </row>
    <row r="21" customFormat="false" ht="15" hidden="false" customHeight="false" outlineLevel="0" collapsed="false">
      <c r="A21" s="37" t="s">
        <v>42</v>
      </c>
      <c r="B21" s="32" t="n">
        <v>0</v>
      </c>
      <c r="C21" s="38" t="n">
        <f aca="false">SUMIFS(Transactions!$E$4:$E$400,Transactions!$C$4:$C$400,$A21,Transactions!$F$4:$F$400,7)</f>
        <v>0</v>
      </c>
      <c r="D21" s="38" t="n">
        <f aca="false">C21-B21</f>
        <v>0</v>
      </c>
    </row>
    <row r="22" customFormat="false" ht="15" hidden="false" customHeight="false" outlineLevel="0" collapsed="false">
      <c r="A22" s="37" t="s">
        <v>43</v>
      </c>
      <c r="B22" s="32" t="n">
        <v>0</v>
      </c>
      <c r="C22" s="38" t="n">
        <f aca="false">SUMIFS(Transactions!$E$4:$E$400,Transactions!$C$4:$C$400,$A22,Transactions!$F$4:$F$400,7)</f>
        <v>0</v>
      </c>
      <c r="D22" s="38" t="n">
        <f aca="false">C22-B22</f>
        <v>0</v>
      </c>
    </row>
    <row r="23" customFormat="false" ht="15" hidden="false" customHeight="false" outlineLevel="0" collapsed="false">
      <c r="A23" s="34" t="s">
        <v>70</v>
      </c>
      <c r="B23" s="35" t="n">
        <f aca="false">SUM(B15:B22)</f>
        <v>0</v>
      </c>
      <c r="C23" s="35" t="n">
        <f aca="false">SUM(C15:C22)</f>
        <v>0</v>
      </c>
      <c r="D23" s="35" t="n">
        <f aca="false">SUM(D15:D22)</f>
        <v>0</v>
      </c>
    </row>
    <row r="25" customFormat="false" ht="18.75" hidden="false" customHeight="true" outlineLevel="0" collapsed="false">
      <c r="A25" s="39" t="s">
        <v>71</v>
      </c>
      <c r="B25" s="39"/>
      <c r="C25" s="39"/>
      <c r="D25" s="39"/>
    </row>
    <row r="26" customFormat="false" ht="15" hidden="false" customHeight="false" outlineLevel="0" collapsed="false">
      <c r="A26" s="40" t="s">
        <v>44</v>
      </c>
      <c r="B26" s="32" t="n">
        <v>0</v>
      </c>
      <c r="C26" s="41" t="n">
        <f aca="false">SUMIFS(Transactions!$E$4:$E$400,Transactions!$C$4:$C$400,$A26,Transactions!$F$4:$F$400,7)</f>
        <v>0</v>
      </c>
      <c r="D26" s="41" t="n">
        <f aca="false">C26-B26</f>
        <v>0</v>
      </c>
    </row>
    <row r="27" customFormat="false" ht="15" hidden="false" customHeight="false" outlineLevel="0" collapsed="false">
      <c r="A27" s="40" t="s">
        <v>45</v>
      </c>
      <c r="B27" s="32" t="n">
        <v>0</v>
      </c>
      <c r="C27" s="41" t="n">
        <f aca="false">SUMIFS(Transactions!$E$4:$E$400,Transactions!$C$4:$C$400,$A27,Transactions!$F$4:$F$400,7)</f>
        <v>0</v>
      </c>
      <c r="D27" s="41" t="n">
        <f aca="false">C27-B27</f>
        <v>0</v>
      </c>
    </row>
    <row r="28" customFormat="false" ht="15" hidden="false" customHeight="false" outlineLevel="0" collapsed="false">
      <c r="A28" s="40" t="s">
        <v>46</v>
      </c>
      <c r="B28" s="32" t="n">
        <v>0</v>
      </c>
      <c r="C28" s="41" t="n">
        <f aca="false">SUMIFS(Transactions!$E$4:$E$400,Transactions!$C$4:$C$400,$A28,Transactions!$F$4:$F$400,7)</f>
        <v>0</v>
      </c>
      <c r="D28" s="41" t="n">
        <f aca="false">C28-B28</f>
        <v>0</v>
      </c>
    </row>
    <row r="29" customFormat="false" ht="15" hidden="false" customHeight="false" outlineLevel="0" collapsed="false">
      <c r="A29" s="40" t="s">
        <v>47</v>
      </c>
      <c r="B29" s="32" t="n">
        <v>0</v>
      </c>
      <c r="C29" s="41" t="n">
        <f aca="false">SUMIFS(Transactions!$E$4:$E$400,Transactions!$C$4:$C$400,$A29,Transactions!$F$4:$F$400,7)</f>
        <v>0</v>
      </c>
      <c r="D29" s="41" t="n">
        <f aca="false">C29-B29</f>
        <v>0</v>
      </c>
    </row>
    <row r="30" customFormat="false" ht="15" hidden="false" customHeight="false" outlineLevel="0" collapsed="false">
      <c r="A30" s="40" t="s">
        <v>48</v>
      </c>
      <c r="B30" s="32" t="n">
        <v>0</v>
      </c>
      <c r="C30" s="41" t="n">
        <f aca="false">SUMIFS(Transactions!$E$4:$E$400,Transactions!$C$4:$C$400,$A30,Transactions!$F$4:$F$400,7)</f>
        <v>0</v>
      </c>
      <c r="D30" s="41" t="n">
        <f aca="false">C30-B30</f>
        <v>0</v>
      </c>
    </row>
    <row r="31" customFormat="false" ht="15" hidden="false" customHeight="false" outlineLevel="0" collapsed="false">
      <c r="A31" s="40" t="s">
        <v>49</v>
      </c>
      <c r="B31" s="32" t="n">
        <v>0</v>
      </c>
      <c r="C31" s="41" t="n">
        <f aca="false">SUMIFS(Transactions!$E$4:$E$400,Transactions!$C$4:$C$400,$A31,Transactions!$F$4:$F$400,7)</f>
        <v>0</v>
      </c>
      <c r="D31" s="41" t="n">
        <f aca="false">C31-B31</f>
        <v>0</v>
      </c>
    </row>
    <row r="32" customFormat="false" ht="15" hidden="false" customHeight="false" outlineLevel="0" collapsed="false">
      <c r="A32" s="40" t="s">
        <v>50</v>
      </c>
      <c r="B32" s="32" t="n">
        <v>0</v>
      </c>
      <c r="C32" s="41" t="n">
        <f aca="false">SUMIFS(Transactions!$E$4:$E$400,Transactions!$C$4:$C$400,$A32,Transactions!$F$4:$F$400,7)</f>
        <v>0</v>
      </c>
      <c r="D32" s="41" t="n">
        <f aca="false">C32-B32</f>
        <v>0</v>
      </c>
    </row>
    <row r="33" customFormat="false" ht="15" hidden="false" customHeight="false" outlineLevel="0" collapsed="false">
      <c r="A33" s="40" t="s">
        <v>51</v>
      </c>
      <c r="B33" s="32" t="n">
        <v>0</v>
      </c>
      <c r="C33" s="41" t="n">
        <f aca="false">SUMIFS(Transactions!$E$4:$E$400,Transactions!$C$4:$C$400,$A33,Transactions!$F$4:$F$400,7)</f>
        <v>0</v>
      </c>
      <c r="D33" s="41" t="n">
        <f aca="false">C33-B33</f>
        <v>0</v>
      </c>
    </row>
    <row r="34" customFormat="false" ht="15" hidden="false" customHeight="false" outlineLevel="0" collapsed="false">
      <c r="A34" s="40" t="s">
        <v>52</v>
      </c>
      <c r="B34" s="32" t="n">
        <v>0</v>
      </c>
      <c r="C34" s="41" t="n">
        <f aca="false">SUMIFS(Transactions!$E$4:$E$400,Transactions!$C$4:$C$400,$A34,Transactions!$F$4:$F$400,7)</f>
        <v>0</v>
      </c>
      <c r="D34" s="41" t="n">
        <f aca="false">C34-B34</f>
        <v>0</v>
      </c>
    </row>
    <row r="35" customFormat="false" ht="15" hidden="false" customHeight="false" outlineLevel="0" collapsed="false">
      <c r="A35" s="40" t="s">
        <v>53</v>
      </c>
      <c r="B35" s="32" t="n">
        <v>0</v>
      </c>
      <c r="C35" s="41" t="n">
        <f aca="false">SUMIFS(Transactions!$E$4:$E$400,Transactions!$C$4:$C$400,$A35,Transactions!$F$4:$F$400,7)</f>
        <v>0</v>
      </c>
      <c r="D35" s="41" t="n">
        <f aca="false">C35-B35</f>
        <v>0</v>
      </c>
    </row>
    <row r="36" customFormat="false" ht="15" hidden="false" customHeight="false" outlineLevel="0" collapsed="false">
      <c r="A36" s="40" t="s">
        <v>54</v>
      </c>
      <c r="B36" s="32" t="n">
        <v>0</v>
      </c>
      <c r="C36" s="41" t="n">
        <f aca="false">SUMIFS(Transactions!$E$4:$E$400,Transactions!$C$4:$C$400,$A36,Transactions!$F$4:$F$400,7)</f>
        <v>0</v>
      </c>
      <c r="D36" s="41" t="n">
        <f aca="false">C36-B36</f>
        <v>0</v>
      </c>
    </row>
    <row r="37" customFormat="false" ht="15" hidden="false" customHeight="false" outlineLevel="0" collapsed="false">
      <c r="A37" s="40" t="s">
        <v>55</v>
      </c>
      <c r="B37" s="32" t="n">
        <v>0</v>
      </c>
      <c r="C37" s="41" t="n">
        <f aca="false">SUMIFS(Transactions!$E$4:$E$400,Transactions!$C$4:$C$400,$A37,Transactions!$F$4:$F$400,7)</f>
        <v>0</v>
      </c>
      <c r="D37" s="41" t="n">
        <f aca="false">C37-B37</f>
        <v>0</v>
      </c>
    </row>
    <row r="38" customFormat="false" ht="15" hidden="false" customHeight="false" outlineLevel="0" collapsed="false">
      <c r="A38" s="34" t="s">
        <v>72</v>
      </c>
      <c r="B38" s="35" t="n">
        <f aca="false">SUM(B26:B37)</f>
        <v>0</v>
      </c>
      <c r="C38" s="35" t="n">
        <f aca="false">SUM(C26:C37)</f>
        <v>0</v>
      </c>
      <c r="D38" s="35" t="n">
        <f aca="false">SUM(D26:D37)</f>
        <v>0</v>
      </c>
    </row>
    <row r="40" customFormat="false" ht="18.75" hidden="false" customHeight="true" outlineLevel="0" collapsed="false">
      <c r="A40" s="42" t="s">
        <v>73</v>
      </c>
      <c r="B40" s="42"/>
      <c r="C40" s="42"/>
      <c r="D40" s="42"/>
    </row>
    <row r="41" customFormat="false" ht="15" hidden="false" customHeight="false" outlineLevel="0" collapsed="false">
      <c r="A41" s="43" t="s">
        <v>74</v>
      </c>
      <c r="B41" s="32" t="n">
        <v>0</v>
      </c>
      <c r="C41" s="44" t="n">
        <f aca="false">SUMIFS(Transactions!$E$4:$E$400,Transactions!$C$4:$C$400,$A41,Transactions!$F$4:$F$400,7)</f>
        <v>0</v>
      </c>
      <c r="D41" s="44" t="n">
        <f aca="false">C41-B41</f>
        <v>0</v>
      </c>
    </row>
    <row r="42" customFormat="false" ht="15" hidden="false" customHeight="false" outlineLevel="0" collapsed="false">
      <c r="A42" s="43" t="s">
        <v>75</v>
      </c>
      <c r="B42" s="32" t="n">
        <v>0</v>
      </c>
      <c r="C42" s="44" t="n">
        <f aca="false">SUMIFS(Transactions!$E$4:$E$400,Transactions!$C$4:$C$400,$A42,Transactions!$F$4:$F$400,7)</f>
        <v>0</v>
      </c>
      <c r="D42" s="44" t="n">
        <f aca="false">C42-B42</f>
        <v>0</v>
      </c>
    </row>
    <row r="43" customFormat="false" ht="15" hidden="false" customHeight="false" outlineLevel="0" collapsed="false">
      <c r="A43" s="43" t="s">
        <v>76</v>
      </c>
      <c r="B43" s="32" t="n">
        <v>0</v>
      </c>
      <c r="C43" s="44" t="n">
        <f aca="false">SUMIFS(Transactions!$E$4:$E$400,Transactions!$C$4:$C$400,$A43,Transactions!$F$4:$F$400,7)</f>
        <v>0</v>
      </c>
      <c r="D43" s="44" t="n">
        <f aca="false">C43-B43</f>
        <v>0</v>
      </c>
    </row>
    <row r="44" customFormat="false" ht="15" hidden="false" customHeight="false" outlineLevel="0" collapsed="false">
      <c r="A44" s="43" t="s">
        <v>77</v>
      </c>
      <c r="B44" s="32" t="n">
        <v>0</v>
      </c>
      <c r="C44" s="44" t="n">
        <f aca="false">SUMIFS(Transactions!$E$4:$E$400,Transactions!$C$4:$C$400,$A44,Transactions!$F$4:$F$400,7)</f>
        <v>0</v>
      </c>
      <c r="D44" s="44" t="n">
        <f aca="false">C44-B44</f>
        <v>0</v>
      </c>
    </row>
    <row r="45" customFormat="false" ht="15" hidden="false" customHeight="false" outlineLevel="0" collapsed="false">
      <c r="A45" s="43" t="s">
        <v>78</v>
      </c>
      <c r="B45" s="32" t="n">
        <v>0</v>
      </c>
      <c r="C45" s="44" t="n">
        <f aca="false">SUMIFS(Transactions!$E$4:$E$400,Transactions!$C$4:$C$400,$A45,Transactions!$F$4:$F$400,7)</f>
        <v>0</v>
      </c>
      <c r="D45" s="44" t="n">
        <f aca="false">C45-B45</f>
        <v>0</v>
      </c>
    </row>
    <row r="46" customFormat="false" ht="15" hidden="false" customHeight="false" outlineLevel="0" collapsed="false">
      <c r="A46" s="43" t="s">
        <v>79</v>
      </c>
      <c r="B46" s="32" t="n">
        <v>0</v>
      </c>
      <c r="C46" s="44" t="n">
        <f aca="false">SUMIFS(Transactions!$E$4:$E$400,Transactions!$C$4:$C$400,$A46,Transactions!$F$4:$F$400,7)</f>
        <v>0</v>
      </c>
      <c r="D46" s="44" t="n">
        <f aca="false">C46-B46</f>
        <v>0</v>
      </c>
    </row>
    <row r="47" customFormat="false" ht="15" hidden="false" customHeight="false" outlineLevel="0" collapsed="false">
      <c r="A47" s="34" t="s">
        <v>80</v>
      </c>
      <c r="B47" s="35" t="n">
        <f aca="false">SUM(B41:B46)</f>
        <v>0</v>
      </c>
      <c r="C47" s="35" t="n">
        <f aca="false">SUM(C41:C46)</f>
        <v>0</v>
      </c>
      <c r="D47" s="35" t="n">
        <f aca="false">SUM(D41:D46)</f>
        <v>0</v>
      </c>
    </row>
    <row r="49" customFormat="false" ht="18.75" hidden="false" customHeight="true" outlineLevel="0" collapsed="false">
      <c r="A49" s="45" t="s">
        <v>81</v>
      </c>
      <c r="B49" s="45"/>
      <c r="C49" s="45"/>
      <c r="D49" s="45"/>
    </row>
    <row r="50" customFormat="false" ht="15" hidden="false" customHeight="false" outlineLevel="0" collapsed="false">
      <c r="A50" s="46" t="s">
        <v>68</v>
      </c>
      <c r="B50" s="47" t="n">
        <f aca="false">B12</f>
        <v>0</v>
      </c>
      <c r="C50" s="47" t="n">
        <f aca="false">C12</f>
        <v>0</v>
      </c>
      <c r="D50" s="47" t="n">
        <f aca="false">C50-B50</f>
        <v>0</v>
      </c>
    </row>
    <row r="51" customFormat="false" ht="15" hidden="false" customHeight="false" outlineLevel="0" collapsed="false">
      <c r="A51" s="46" t="s">
        <v>82</v>
      </c>
      <c r="B51" s="47" t="n">
        <f aca="false">B23+B38</f>
        <v>0</v>
      </c>
      <c r="C51" s="47" t="n">
        <f aca="false">C23+C38</f>
        <v>0</v>
      </c>
      <c r="D51" s="47" t="n">
        <f aca="false">C51-B51</f>
        <v>0</v>
      </c>
    </row>
    <row r="52" customFormat="false" ht="15" hidden="false" customHeight="false" outlineLevel="0" collapsed="false">
      <c r="A52" s="46" t="s">
        <v>83</v>
      </c>
      <c r="B52" s="47" t="n">
        <f aca="false">B47</f>
        <v>0</v>
      </c>
      <c r="C52" s="47" t="n">
        <f aca="false">C47</f>
        <v>0</v>
      </c>
      <c r="D52" s="47" t="n">
        <f aca="false">C52-B52</f>
        <v>0</v>
      </c>
    </row>
    <row r="53" customFormat="false" ht="15" hidden="false" customHeight="false" outlineLevel="0" collapsed="false">
      <c r="A53" s="48" t="s">
        <v>84</v>
      </c>
      <c r="B53" s="49" t="n">
        <f aca="false">B50-B51-B52</f>
        <v>0</v>
      </c>
      <c r="C53" s="49" t="n">
        <f aca="false">C50-C51-C52</f>
        <v>0</v>
      </c>
      <c r="D53" s="49" t="n">
        <f aca="false">C53-B53</f>
        <v>0</v>
      </c>
    </row>
  </sheetData>
  <mergeCells count="7">
    <mergeCell ref="A1:D1"/>
    <mergeCell ref="A2:D2"/>
    <mergeCell ref="A5:D5"/>
    <mergeCell ref="A14:D14"/>
    <mergeCell ref="A25:D25"/>
    <mergeCell ref="A40:D40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"/>
  </cols>
  <sheetData>
    <row r="1" customFormat="false" ht="30" hidden="false" customHeight="true" outlineLevel="0" collapsed="false">
      <c r="A1" s="27" t="str">
        <f aca="false">"AUGUST"&amp;" "&amp;Welcome!$B$7&amp;" BUDGET"</f>
        <v>AUGUST 2026 BUDGET</v>
      </c>
      <c r="B1" s="27"/>
      <c r="C1" s="27"/>
      <c r="D1" s="27"/>
    </row>
    <row r="2" customFormat="false" ht="15" hidden="false" customHeight="false" outlineLevel="0" collapsed="false">
      <c r="A2" s="28" t="s">
        <v>56</v>
      </c>
      <c r="B2" s="28"/>
      <c r="C2" s="28"/>
      <c r="D2" s="28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</row>
    <row r="5" customFormat="false" ht="18.75" hidden="false" customHeight="true" outlineLevel="0" collapsed="false">
      <c r="A5" s="30" t="s">
        <v>61</v>
      </c>
      <c r="B5" s="30"/>
      <c r="C5" s="30"/>
      <c r="D5" s="30"/>
    </row>
    <row r="6" customFormat="false" ht="15" hidden="false" customHeight="false" outlineLevel="0" collapsed="false">
      <c r="A6" s="31" t="s">
        <v>62</v>
      </c>
      <c r="B6" s="32" t="n">
        <v>0</v>
      </c>
      <c r="C6" s="33" t="n">
        <f aca="false">SUMIFS(Transactions!$E$4:$E$400,Transactions!$C$4:$C$400,$A6,Transactions!$F$4:$F$400,8)</f>
        <v>0</v>
      </c>
      <c r="D6" s="33" t="n">
        <f aca="false">C6-B6</f>
        <v>0</v>
      </c>
    </row>
    <row r="7" customFormat="false" ht="15" hidden="false" customHeight="false" outlineLevel="0" collapsed="false">
      <c r="A7" s="31" t="s">
        <v>63</v>
      </c>
      <c r="B7" s="32" t="n">
        <v>0</v>
      </c>
      <c r="C7" s="33" t="n">
        <f aca="false">SUMIFS(Transactions!$E$4:$E$400,Transactions!$C$4:$C$400,$A7,Transactions!$F$4:$F$400,8)</f>
        <v>0</v>
      </c>
      <c r="D7" s="33" t="n">
        <f aca="false">C7-B7</f>
        <v>0</v>
      </c>
    </row>
    <row r="8" customFormat="false" ht="15" hidden="false" customHeight="false" outlineLevel="0" collapsed="false">
      <c r="A8" s="31" t="s">
        <v>64</v>
      </c>
      <c r="B8" s="32" t="n">
        <v>0</v>
      </c>
      <c r="C8" s="33" t="n">
        <f aca="false">SUMIFS(Transactions!$E$4:$E$400,Transactions!$C$4:$C$400,$A8,Transactions!$F$4:$F$400,8)</f>
        <v>0</v>
      </c>
      <c r="D8" s="33" t="n">
        <f aca="false">C8-B8</f>
        <v>0</v>
      </c>
    </row>
    <row r="9" customFormat="false" ht="15" hidden="false" customHeight="false" outlineLevel="0" collapsed="false">
      <c r="A9" s="31" t="s">
        <v>65</v>
      </c>
      <c r="B9" s="32" t="n">
        <v>0</v>
      </c>
      <c r="C9" s="33" t="n">
        <f aca="false">SUMIFS(Transactions!$E$4:$E$400,Transactions!$C$4:$C$400,$A9,Transactions!$F$4:$F$400,8)</f>
        <v>0</v>
      </c>
      <c r="D9" s="33" t="n">
        <f aca="false">C9-B9</f>
        <v>0</v>
      </c>
    </row>
    <row r="10" customFormat="false" ht="15" hidden="false" customHeight="false" outlineLevel="0" collapsed="false">
      <c r="A10" s="31" t="s">
        <v>66</v>
      </c>
      <c r="B10" s="32" t="n">
        <v>0</v>
      </c>
      <c r="C10" s="33" t="n">
        <f aca="false">SUMIFS(Transactions!$E$4:$E$400,Transactions!$C$4:$C$400,$A10,Transactions!$F$4:$F$400,8)</f>
        <v>0</v>
      </c>
      <c r="D10" s="33" t="n">
        <f aca="false">C10-B10</f>
        <v>0</v>
      </c>
    </row>
    <row r="11" customFormat="false" ht="15" hidden="false" customHeight="false" outlineLevel="0" collapsed="false">
      <c r="A11" s="31" t="s">
        <v>67</v>
      </c>
      <c r="B11" s="32" t="n">
        <v>0</v>
      </c>
      <c r="C11" s="33" t="n">
        <f aca="false">SUMIFS(Transactions!$E$4:$E$400,Transactions!$C$4:$C$400,$A11,Transactions!$F$4:$F$400,8)</f>
        <v>0</v>
      </c>
      <c r="D11" s="33" t="n">
        <f aca="false">C11-B11</f>
        <v>0</v>
      </c>
    </row>
    <row r="12" customFormat="false" ht="15" hidden="false" customHeight="false" outlineLevel="0" collapsed="false">
      <c r="A12" s="34" t="s">
        <v>68</v>
      </c>
      <c r="B12" s="35" t="n">
        <f aca="false">SUM(B6:B11)</f>
        <v>0</v>
      </c>
      <c r="C12" s="35" t="n">
        <f aca="false">SUM(C6:C11)</f>
        <v>0</v>
      </c>
      <c r="D12" s="35" t="n">
        <f aca="false">SUM(D6:D11)</f>
        <v>0</v>
      </c>
    </row>
    <row r="14" customFormat="false" ht="18.75" hidden="false" customHeight="true" outlineLevel="0" collapsed="false">
      <c r="A14" s="36" t="s">
        <v>69</v>
      </c>
      <c r="B14" s="36"/>
      <c r="C14" s="36"/>
      <c r="D14" s="36"/>
    </row>
    <row r="15" customFormat="false" ht="15" hidden="false" customHeight="false" outlineLevel="0" collapsed="false">
      <c r="A15" s="37" t="s">
        <v>36</v>
      </c>
      <c r="B15" s="32" t="n">
        <v>0</v>
      </c>
      <c r="C15" s="38" t="n">
        <f aca="false">SUMIFS(Transactions!$E$4:$E$400,Transactions!$C$4:$C$400,$A15,Transactions!$F$4:$F$400,8)</f>
        <v>0</v>
      </c>
      <c r="D15" s="38" t="n">
        <f aca="false">C15-B15</f>
        <v>0</v>
      </c>
    </row>
    <row r="16" customFormat="false" ht="15" hidden="false" customHeight="false" outlineLevel="0" collapsed="false">
      <c r="A16" s="37" t="s">
        <v>37</v>
      </c>
      <c r="B16" s="32" t="n">
        <v>0</v>
      </c>
      <c r="C16" s="38" t="n">
        <f aca="false">SUMIFS(Transactions!$E$4:$E$400,Transactions!$C$4:$C$400,$A16,Transactions!$F$4:$F$400,8)</f>
        <v>0</v>
      </c>
      <c r="D16" s="38" t="n">
        <f aca="false">C16-B16</f>
        <v>0</v>
      </c>
    </row>
    <row r="17" customFormat="false" ht="15" hidden="false" customHeight="false" outlineLevel="0" collapsed="false">
      <c r="A17" s="37" t="s">
        <v>38</v>
      </c>
      <c r="B17" s="32" t="n">
        <v>0</v>
      </c>
      <c r="C17" s="38" t="n">
        <f aca="false">SUMIFS(Transactions!$E$4:$E$400,Transactions!$C$4:$C$400,$A17,Transactions!$F$4:$F$400,8)</f>
        <v>0</v>
      </c>
      <c r="D17" s="38" t="n">
        <f aca="false">C17-B17</f>
        <v>0</v>
      </c>
    </row>
    <row r="18" customFormat="false" ht="15" hidden="false" customHeight="false" outlineLevel="0" collapsed="false">
      <c r="A18" s="37" t="s">
        <v>39</v>
      </c>
      <c r="B18" s="32" t="n">
        <v>0</v>
      </c>
      <c r="C18" s="38" t="n">
        <f aca="false">SUMIFS(Transactions!$E$4:$E$400,Transactions!$C$4:$C$400,$A18,Transactions!$F$4:$F$400,8)</f>
        <v>0</v>
      </c>
      <c r="D18" s="38" t="n">
        <f aca="false">C18-B18</f>
        <v>0</v>
      </c>
    </row>
    <row r="19" customFormat="false" ht="15" hidden="false" customHeight="false" outlineLevel="0" collapsed="false">
      <c r="A19" s="37" t="s">
        <v>40</v>
      </c>
      <c r="B19" s="32" t="n">
        <v>0</v>
      </c>
      <c r="C19" s="38" t="n">
        <f aca="false">SUMIFS(Transactions!$E$4:$E$400,Transactions!$C$4:$C$400,$A19,Transactions!$F$4:$F$400,8)</f>
        <v>0</v>
      </c>
      <c r="D19" s="38" t="n">
        <f aca="false">C19-B19</f>
        <v>0</v>
      </c>
    </row>
    <row r="20" customFormat="false" ht="15" hidden="false" customHeight="false" outlineLevel="0" collapsed="false">
      <c r="A20" s="37" t="s">
        <v>41</v>
      </c>
      <c r="B20" s="32" t="n">
        <v>0</v>
      </c>
      <c r="C20" s="38" t="n">
        <f aca="false">SUMIFS(Transactions!$E$4:$E$400,Transactions!$C$4:$C$400,$A20,Transactions!$F$4:$F$400,8)</f>
        <v>0</v>
      </c>
      <c r="D20" s="38" t="n">
        <f aca="false">C20-B20</f>
        <v>0</v>
      </c>
    </row>
    <row r="21" customFormat="false" ht="15" hidden="false" customHeight="false" outlineLevel="0" collapsed="false">
      <c r="A21" s="37" t="s">
        <v>42</v>
      </c>
      <c r="B21" s="32" t="n">
        <v>0</v>
      </c>
      <c r="C21" s="38" t="n">
        <f aca="false">SUMIFS(Transactions!$E$4:$E$400,Transactions!$C$4:$C$400,$A21,Transactions!$F$4:$F$400,8)</f>
        <v>0</v>
      </c>
      <c r="D21" s="38" t="n">
        <f aca="false">C21-B21</f>
        <v>0</v>
      </c>
    </row>
    <row r="22" customFormat="false" ht="15" hidden="false" customHeight="false" outlineLevel="0" collapsed="false">
      <c r="A22" s="37" t="s">
        <v>43</v>
      </c>
      <c r="B22" s="32" t="n">
        <v>0</v>
      </c>
      <c r="C22" s="38" t="n">
        <f aca="false">SUMIFS(Transactions!$E$4:$E$400,Transactions!$C$4:$C$400,$A22,Transactions!$F$4:$F$400,8)</f>
        <v>0</v>
      </c>
      <c r="D22" s="38" t="n">
        <f aca="false">C22-B22</f>
        <v>0</v>
      </c>
    </row>
    <row r="23" customFormat="false" ht="15" hidden="false" customHeight="false" outlineLevel="0" collapsed="false">
      <c r="A23" s="34" t="s">
        <v>70</v>
      </c>
      <c r="B23" s="35" t="n">
        <f aca="false">SUM(B15:B22)</f>
        <v>0</v>
      </c>
      <c r="C23" s="35" t="n">
        <f aca="false">SUM(C15:C22)</f>
        <v>0</v>
      </c>
      <c r="D23" s="35" t="n">
        <f aca="false">SUM(D15:D22)</f>
        <v>0</v>
      </c>
    </row>
    <row r="25" customFormat="false" ht="18.75" hidden="false" customHeight="true" outlineLevel="0" collapsed="false">
      <c r="A25" s="39" t="s">
        <v>71</v>
      </c>
      <c r="B25" s="39"/>
      <c r="C25" s="39"/>
      <c r="D25" s="39"/>
    </row>
    <row r="26" customFormat="false" ht="15" hidden="false" customHeight="false" outlineLevel="0" collapsed="false">
      <c r="A26" s="40" t="s">
        <v>44</v>
      </c>
      <c r="B26" s="32" t="n">
        <v>0</v>
      </c>
      <c r="C26" s="41" t="n">
        <f aca="false">SUMIFS(Transactions!$E$4:$E$400,Transactions!$C$4:$C$400,$A26,Transactions!$F$4:$F$400,8)</f>
        <v>0</v>
      </c>
      <c r="D26" s="41" t="n">
        <f aca="false">C26-B26</f>
        <v>0</v>
      </c>
    </row>
    <row r="27" customFormat="false" ht="15" hidden="false" customHeight="false" outlineLevel="0" collapsed="false">
      <c r="A27" s="40" t="s">
        <v>45</v>
      </c>
      <c r="B27" s="32" t="n">
        <v>0</v>
      </c>
      <c r="C27" s="41" t="n">
        <f aca="false">SUMIFS(Transactions!$E$4:$E$400,Transactions!$C$4:$C$400,$A27,Transactions!$F$4:$F$400,8)</f>
        <v>0</v>
      </c>
      <c r="D27" s="41" t="n">
        <f aca="false">C27-B27</f>
        <v>0</v>
      </c>
    </row>
    <row r="28" customFormat="false" ht="15" hidden="false" customHeight="false" outlineLevel="0" collapsed="false">
      <c r="A28" s="40" t="s">
        <v>46</v>
      </c>
      <c r="B28" s="32" t="n">
        <v>0</v>
      </c>
      <c r="C28" s="41" t="n">
        <f aca="false">SUMIFS(Transactions!$E$4:$E$400,Transactions!$C$4:$C$400,$A28,Transactions!$F$4:$F$400,8)</f>
        <v>0</v>
      </c>
      <c r="D28" s="41" t="n">
        <f aca="false">C28-B28</f>
        <v>0</v>
      </c>
    </row>
    <row r="29" customFormat="false" ht="15" hidden="false" customHeight="false" outlineLevel="0" collapsed="false">
      <c r="A29" s="40" t="s">
        <v>47</v>
      </c>
      <c r="B29" s="32" t="n">
        <v>0</v>
      </c>
      <c r="C29" s="41" t="n">
        <f aca="false">SUMIFS(Transactions!$E$4:$E$400,Transactions!$C$4:$C$400,$A29,Transactions!$F$4:$F$400,8)</f>
        <v>0</v>
      </c>
      <c r="D29" s="41" t="n">
        <f aca="false">C29-B29</f>
        <v>0</v>
      </c>
    </row>
    <row r="30" customFormat="false" ht="15" hidden="false" customHeight="false" outlineLevel="0" collapsed="false">
      <c r="A30" s="40" t="s">
        <v>48</v>
      </c>
      <c r="B30" s="32" t="n">
        <v>0</v>
      </c>
      <c r="C30" s="41" t="n">
        <f aca="false">SUMIFS(Transactions!$E$4:$E$400,Transactions!$C$4:$C$400,$A30,Transactions!$F$4:$F$400,8)</f>
        <v>0</v>
      </c>
      <c r="D30" s="41" t="n">
        <f aca="false">C30-B30</f>
        <v>0</v>
      </c>
    </row>
    <row r="31" customFormat="false" ht="15" hidden="false" customHeight="false" outlineLevel="0" collapsed="false">
      <c r="A31" s="40" t="s">
        <v>49</v>
      </c>
      <c r="B31" s="32" t="n">
        <v>0</v>
      </c>
      <c r="C31" s="41" t="n">
        <f aca="false">SUMIFS(Transactions!$E$4:$E$400,Transactions!$C$4:$C$400,$A31,Transactions!$F$4:$F$400,8)</f>
        <v>0</v>
      </c>
      <c r="D31" s="41" t="n">
        <f aca="false">C31-B31</f>
        <v>0</v>
      </c>
    </row>
    <row r="32" customFormat="false" ht="15" hidden="false" customHeight="false" outlineLevel="0" collapsed="false">
      <c r="A32" s="40" t="s">
        <v>50</v>
      </c>
      <c r="B32" s="32" t="n">
        <v>0</v>
      </c>
      <c r="C32" s="41" t="n">
        <f aca="false">SUMIFS(Transactions!$E$4:$E$400,Transactions!$C$4:$C$400,$A32,Transactions!$F$4:$F$400,8)</f>
        <v>0</v>
      </c>
      <c r="D32" s="41" t="n">
        <f aca="false">C32-B32</f>
        <v>0</v>
      </c>
    </row>
    <row r="33" customFormat="false" ht="15" hidden="false" customHeight="false" outlineLevel="0" collapsed="false">
      <c r="A33" s="40" t="s">
        <v>51</v>
      </c>
      <c r="B33" s="32" t="n">
        <v>0</v>
      </c>
      <c r="C33" s="41" t="n">
        <f aca="false">SUMIFS(Transactions!$E$4:$E$400,Transactions!$C$4:$C$400,$A33,Transactions!$F$4:$F$400,8)</f>
        <v>0</v>
      </c>
      <c r="D33" s="41" t="n">
        <f aca="false">C33-B33</f>
        <v>0</v>
      </c>
    </row>
    <row r="34" customFormat="false" ht="15" hidden="false" customHeight="false" outlineLevel="0" collapsed="false">
      <c r="A34" s="40" t="s">
        <v>52</v>
      </c>
      <c r="B34" s="32" t="n">
        <v>0</v>
      </c>
      <c r="C34" s="41" t="n">
        <f aca="false">SUMIFS(Transactions!$E$4:$E$400,Transactions!$C$4:$C$400,$A34,Transactions!$F$4:$F$400,8)</f>
        <v>0</v>
      </c>
      <c r="D34" s="41" t="n">
        <f aca="false">C34-B34</f>
        <v>0</v>
      </c>
    </row>
    <row r="35" customFormat="false" ht="15" hidden="false" customHeight="false" outlineLevel="0" collapsed="false">
      <c r="A35" s="40" t="s">
        <v>53</v>
      </c>
      <c r="B35" s="32" t="n">
        <v>0</v>
      </c>
      <c r="C35" s="41" t="n">
        <f aca="false">SUMIFS(Transactions!$E$4:$E$400,Transactions!$C$4:$C$400,$A35,Transactions!$F$4:$F$400,8)</f>
        <v>0</v>
      </c>
      <c r="D35" s="41" t="n">
        <f aca="false">C35-B35</f>
        <v>0</v>
      </c>
    </row>
    <row r="36" customFormat="false" ht="15" hidden="false" customHeight="false" outlineLevel="0" collapsed="false">
      <c r="A36" s="40" t="s">
        <v>54</v>
      </c>
      <c r="B36" s="32" t="n">
        <v>0</v>
      </c>
      <c r="C36" s="41" t="n">
        <f aca="false">SUMIFS(Transactions!$E$4:$E$400,Transactions!$C$4:$C$400,$A36,Transactions!$F$4:$F$400,8)</f>
        <v>0</v>
      </c>
      <c r="D36" s="41" t="n">
        <f aca="false">C36-B36</f>
        <v>0</v>
      </c>
    </row>
    <row r="37" customFormat="false" ht="15" hidden="false" customHeight="false" outlineLevel="0" collapsed="false">
      <c r="A37" s="40" t="s">
        <v>55</v>
      </c>
      <c r="B37" s="32" t="n">
        <v>0</v>
      </c>
      <c r="C37" s="41" t="n">
        <f aca="false">SUMIFS(Transactions!$E$4:$E$400,Transactions!$C$4:$C$400,$A37,Transactions!$F$4:$F$400,8)</f>
        <v>0</v>
      </c>
      <c r="D37" s="41" t="n">
        <f aca="false">C37-B37</f>
        <v>0</v>
      </c>
    </row>
    <row r="38" customFormat="false" ht="15" hidden="false" customHeight="false" outlineLevel="0" collapsed="false">
      <c r="A38" s="34" t="s">
        <v>72</v>
      </c>
      <c r="B38" s="35" t="n">
        <f aca="false">SUM(B26:B37)</f>
        <v>0</v>
      </c>
      <c r="C38" s="35" t="n">
        <f aca="false">SUM(C26:C37)</f>
        <v>0</v>
      </c>
      <c r="D38" s="35" t="n">
        <f aca="false">SUM(D26:D37)</f>
        <v>0</v>
      </c>
    </row>
    <row r="40" customFormat="false" ht="18.75" hidden="false" customHeight="true" outlineLevel="0" collapsed="false">
      <c r="A40" s="42" t="s">
        <v>73</v>
      </c>
      <c r="B40" s="42"/>
      <c r="C40" s="42"/>
      <c r="D40" s="42"/>
    </row>
    <row r="41" customFormat="false" ht="15" hidden="false" customHeight="false" outlineLevel="0" collapsed="false">
      <c r="A41" s="43" t="s">
        <v>74</v>
      </c>
      <c r="B41" s="32" t="n">
        <v>0</v>
      </c>
      <c r="C41" s="44" t="n">
        <f aca="false">SUMIFS(Transactions!$E$4:$E$400,Transactions!$C$4:$C$400,$A41,Transactions!$F$4:$F$400,8)</f>
        <v>0</v>
      </c>
      <c r="D41" s="44" t="n">
        <f aca="false">C41-B41</f>
        <v>0</v>
      </c>
    </row>
    <row r="42" customFormat="false" ht="15" hidden="false" customHeight="false" outlineLevel="0" collapsed="false">
      <c r="A42" s="43" t="s">
        <v>75</v>
      </c>
      <c r="B42" s="32" t="n">
        <v>0</v>
      </c>
      <c r="C42" s="44" t="n">
        <f aca="false">SUMIFS(Transactions!$E$4:$E$400,Transactions!$C$4:$C$400,$A42,Transactions!$F$4:$F$400,8)</f>
        <v>0</v>
      </c>
      <c r="D42" s="44" t="n">
        <f aca="false">C42-B42</f>
        <v>0</v>
      </c>
    </row>
    <row r="43" customFormat="false" ht="15" hidden="false" customHeight="false" outlineLevel="0" collapsed="false">
      <c r="A43" s="43" t="s">
        <v>76</v>
      </c>
      <c r="B43" s="32" t="n">
        <v>0</v>
      </c>
      <c r="C43" s="44" t="n">
        <f aca="false">SUMIFS(Transactions!$E$4:$E$400,Transactions!$C$4:$C$400,$A43,Transactions!$F$4:$F$400,8)</f>
        <v>0</v>
      </c>
      <c r="D43" s="44" t="n">
        <f aca="false">C43-B43</f>
        <v>0</v>
      </c>
    </row>
    <row r="44" customFormat="false" ht="15" hidden="false" customHeight="false" outlineLevel="0" collapsed="false">
      <c r="A44" s="43" t="s">
        <v>77</v>
      </c>
      <c r="B44" s="32" t="n">
        <v>0</v>
      </c>
      <c r="C44" s="44" t="n">
        <f aca="false">SUMIFS(Transactions!$E$4:$E$400,Transactions!$C$4:$C$400,$A44,Transactions!$F$4:$F$400,8)</f>
        <v>0</v>
      </c>
      <c r="D44" s="44" t="n">
        <f aca="false">C44-B44</f>
        <v>0</v>
      </c>
    </row>
    <row r="45" customFormat="false" ht="15" hidden="false" customHeight="false" outlineLevel="0" collapsed="false">
      <c r="A45" s="43" t="s">
        <v>78</v>
      </c>
      <c r="B45" s="32" t="n">
        <v>0</v>
      </c>
      <c r="C45" s="44" t="n">
        <f aca="false">SUMIFS(Transactions!$E$4:$E$400,Transactions!$C$4:$C$400,$A45,Transactions!$F$4:$F$400,8)</f>
        <v>0</v>
      </c>
      <c r="D45" s="44" t="n">
        <f aca="false">C45-B45</f>
        <v>0</v>
      </c>
    </row>
    <row r="46" customFormat="false" ht="15" hidden="false" customHeight="false" outlineLevel="0" collapsed="false">
      <c r="A46" s="43" t="s">
        <v>79</v>
      </c>
      <c r="B46" s="32" t="n">
        <v>0</v>
      </c>
      <c r="C46" s="44" t="n">
        <f aca="false">SUMIFS(Transactions!$E$4:$E$400,Transactions!$C$4:$C$400,$A46,Transactions!$F$4:$F$400,8)</f>
        <v>0</v>
      </c>
      <c r="D46" s="44" t="n">
        <f aca="false">C46-B46</f>
        <v>0</v>
      </c>
    </row>
    <row r="47" customFormat="false" ht="15" hidden="false" customHeight="false" outlineLevel="0" collapsed="false">
      <c r="A47" s="34" t="s">
        <v>80</v>
      </c>
      <c r="B47" s="35" t="n">
        <f aca="false">SUM(B41:B46)</f>
        <v>0</v>
      </c>
      <c r="C47" s="35" t="n">
        <f aca="false">SUM(C41:C46)</f>
        <v>0</v>
      </c>
      <c r="D47" s="35" t="n">
        <f aca="false">SUM(D41:D46)</f>
        <v>0</v>
      </c>
    </row>
    <row r="49" customFormat="false" ht="18.75" hidden="false" customHeight="true" outlineLevel="0" collapsed="false">
      <c r="A49" s="45" t="s">
        <v>81</v>
      </c>
      <c r="B49" s="45"/>
      <c r="C49" s="45"/>
      <c r="D49" s="45"/>
    </row>
    <row r="50" customFormat="false" ht="15" hidden="false" customHeight="false" outlineLevel="0" collapsed="false">
      <c r="A50" s="46" t="s">
        <v>68</v>
      </c>
      <c r="B50" s="47" t="n">
        <f aca="false">B12</f>
        <v>0</v>
      </c>
      <c r="C50" s="47" t="n">
        <f aca="false">C12</f>
        <v>0</v>
      </c>
      <c r="D50" s="47" t="n">
        <f aca="false">C50-B50</f>
        <v>0</v>
      </c>
    </row>
    <row r="51" customFormat="false" ht="15" hidden="false" customHeight="false" outlineLevel="0" collapsed="false">
      <c r="A51" s="46" t="s">
        <v>82</v>
      </c>
      <c r="B51" s="47" t="n">
        <f aca="false">B23+B38</f>
        <v>0</v>
      </c>
      <c r="C51" s="47" t="n">
        <f aca="false">C23+C38</f>
        <v>0</v>
      </c>
      <c r="D51" s="47" t="n">
        <f aca="false">C51-B51</f>
        <v>0</v>
      </c>
    </row>
    <row r="52" customFormat="false" ht="15" hidden="false" customHeight="false" outlineLevel="0" collapsed="false">
      <c r="A52" s="46" t="s">
        <v>83</v>
      </c>
      <c r="B52" s="47" t="n">
        <f aca="false">B47</f>
        <v>0</v>
      </c>
      <c r="C52" s="47" t="n">
        <f aca="false">C47</f>
        <v>0</v>
      </c>
      <c r="D52" s="47" t="n">
        <f aca="false">C52-B52</f>
        <v>0</v>
      </c>
    </row>
    <row r="53" customFormat="false" ht="15" hidden="false" customHeight="false" outlineLevel="0" collapsed="false">
      <c r="A53" s="48" t="s">
        <v>84</v>
      </c>
      <c r="B53" s="49" t="n">
        <f aca="false">B50-B51-B52</f>
        <v>0</v>
      </c>
      <c r="C53" s="49" t="n">
        <f aca="false">C50-C51-C52</f>
        <v>0</v>
      </c>
      <c r="D53" s="49" t="n">
        <f aca="false">C53-B53</f>
        <v>0</v>
      </c>
    </row>
  </sheetData>
  <mergeCells count="7">
    <mergeCell ref="A1:D1"/>
    <mergeCell ref="A2:D2"/>
    <mergeCell ref="A5:D5"/>
    <mergeCell ref="A14:D14"/>
    <mergeCell ref="A25:D25"/>
    <mergeCell ref="A40:D40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62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"/>
  </cols>
  <sheetData>
    <row r="1" customFormat="false" ht="30" hidden="false" customHeight="true" outlineLevel="0" collapsed="false">
      <c r="A1" s="27" t="str">
        <f aca="false">"SEPTEMBER"&amp;" "&amp;Welcome!$B$7&amp;" BUDGET"</f>
        <v>SEPTEMBER 2026 BUDGET</v>
      </c>
      <c r="B1" s="27"/>
      <c r="C1" s="27"/>
      <c r="D1" s="27"/>
    </row>
    <row r="2" customFormat="false" ht="15" hidden="false" customHeight="false" outlineLevel="0" collapsed="false">
      <c r="A2" s="28" t="s">
        <v>56</v>
      </c>
      <c r="B2" s="28"/>
      <c r="C2" s="28"/>
      <c r="D2" s="28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</row>
    <row r="5" customFormat="false" ht="18.75" hidden="false" customHeight="true" outlineLevel="0" collapsed="false">
      <c r="A5" s="30" t="s">
        <v>61</v>
      </c>
      <c r="B5" s="30"/>
      <c r="C5" s="30"/>
      <c r="D5" s="30"/>
    </row>
    <row r="6" customFormat="false" ht="15" hidden="false" customHeight="false" outlineLevel="0" collapsed="false">
      <c r="A6" s="31" t="s">
        <v>62</v>
      </c>
      <c r="B6" s="32" t="n">
        <v>0</v>
      </c>
      <c r="C6" s="33" t="n">
        <f aca="false">SUMIFS(Transactions!$E$4:$E$400,Transactions!$C$4:$C$400,$A6,Transactions!$F$4:$F$400,9)</f>
        <v>0</v>
      </c>
      <c r="D6" s="33" t="n">
        <f aca="false">C6-B6</f>
        <v>0</v>
      </c>
    </row>
    <row r="7" customFormat="false" ht="15" hidden="false" customHeight="false" outlineLevel="0" collapsed="false">
      <c r="A7" s="31" t="s">
        <v>63</v>
      </c>
      <c r="B7" s="32" t="n">
        <v>0</v>
      </c>
      <c r="C7" s="33" t="n">
        <f aca="false">SUMIFS(Transactions!$E$4:$E$400,Transactions!$C$4:$C$400,$A7,Transactions!$F$4:$F$400,9)</f>
        <v>0</v>
      </c>
      <c r="D7" s="33" t="n">
        <f aca="false">C7-B7</f>
        <v>0</v>
      </c>
    </row>
    <row r="8" customFormat="false" ht="15" hidden="false" customHeight="false" outlineLevel="0" collapsed="false">
      <c r="A8" s="31" t="s">
        <v>64</v>
      </c>
      <c r="B8" s="32" t="n">
        <v>0</v>
      </c>
      <c r="C8" s="33" t="n">
        <f aca="false">SUMIFS(Transactions!$E$4:$E$400,Transactions!$C$4:$C$400,$A8,Transactions!$F$4:$F$400,9)</f>
        <v>0</v>
      </c>
      <c r="D8" s="33" t="n">
        <f aca="false">C8-B8</f>
        <v>0</v>
      </c>
    </row>
    <row r="9" customFormat="false" ht="15" hidden="false" customHeight="false" outlineLevel="0" collapsed="false">
      <c r="A9" s="31" t="s">
        <v>65</v>
      </c>
      <c r="B9" s="32" t="n">
        <v>0</v>
      </c>
      <c r="C9" s="33" t="n">
        <f aca="false">SUMIFS(Transactions!$E$4:$E$400,Transactions!$C$4:$C$400,$A9,Transactions!$F$4:$F$400,9)</f>
        <v>0</v>
      </c>
      <c r="D9" s="33" t="n">
        <f aca="false">C9-B9</f>
        <v>0</v>
      </c>
    </row>
    <row r="10" customFormat="false" ht="15" hidden="false" customHeight="false" outlineLevel="0" collapsed="false">
      <c r="A10" s="31" t="s">
        <v>66</v>
      </c>
      <c r="B10" s="32" t="n">
        <v>0</v>
      </c>
      <c r="C10" s="33" t="n">
        <f aca="false">SUMIFS(Transactions!$E$4:$E$400,Transactions!$C$4:$C$400,$A10,Transactions!$F$4:$F$400,9)</f>
        <v>0</v>
      </c>
      <c r="D10" s="33" t="n">
        <f aca="false">C10-B10</f>
        <v>0</v>
      </c>
    </row>
    <row r="11" customFormat="false" ht="15" hidden="false" customHeight="false" outlineLevel="0" collapsed="false">
      <c r="A11" s="31" t="s">
        <v>67</v>
      </c>
      <c r="B11" s="32" t="n">
        <v>0</v>
      </c>
      <c r="C11" s="33" t="n">
        <f aca="false">SUMIFS(Transactions!$E$4:$E$400,Transactions!$C$4:$C$400,$A11,Transactions!$F$4:$F$400,9)</f>
        <v>0</v>
      </c>
      <c r="D11" s="33" t="n">
        <f aca="false">C11-B11</f>
        <v>0</v>
      </c>
    </row>
    <row r="12" customFormat="false" ht="15" hidden="false" customHeight="false" outlineLevel="0" collapsed="false">
      <c r="A12" s="34" t="s">
        <v>68</v>
      </c>
      <c r="B12" s="35" t="n">
        <f aca="false">SUM(B6:B11)</f>
        <v>0</v>
      </c>
      <c r="C12" s="35" t="n">
        <f aca="false">SUM(C6:C11)</f>
        <v>0</v>
      </c>
      <c r="D12" s="35" t="n">
        <f aca="false">SUM(D6:D11)</f>
        <v>0</v>
      </c>
    </row>
    <row r="14" customFormat="false" ht="18.75" hidden="false" customHeight="true" outlineLevel="0" collapsed="false">
      <c r="A14" s="36" t="s">
        <v>69</v>
      </c>
      <c r="B14" s="36"/>
      <c r="C14" s="36"/>
      <c r="D14" s="36"/>
    </row>
    <row r="15" customFormat="false" ht="15" hidden="false" customHeight="false" outlineLevel="0" collapsed="false">
      <c r="A15" s="37" t="s">
        <v>36</v>
      </c>
      <c r="B15" s="32" t="n">
        <v>0</v>
      </c>
      <c r="C15" s="38" t="n">
        <f aca="false">SUMIFS(Transactions!$E$4:$E$400,Transactions!$C$4:$C$400,$A15,Transactions!$F$4:$F$400,9)</f>
        <v>0</v>
      </c>
      <c r="D15" s="38" t="n">
        <f aca="false">C15-B15</f>
        <v>0</v>
      </c>
    </row>
    <row r="16" customFormat="false" ht="15" hidden="false" customHeight="false" outlineLevel="0" collapsed="false">
      <c r="A16" s="37" t="s">
        <v>37</v>
      </c>
      <c r="B16" s="32" t="n">
        <v>0</v>
      </c>
      <c r="C16" s="38" t="n">
        <f aca="false">SUMIFS(Transactions!$E$4:$E$400,Transactions!$C$4:$C$400,$A16,Transactions!$F$4:$F$400,9)</f>
        <v>0</v>
      </c>
      <c r="D16" s="38" t="n">
        <f aca="false">C16-B16</f>
        <v>0</v>
      </c>
    </row>
    <row r="17" customFormat="false" ht="15" hidden="false" customHeight="false" outlineLevel="0" collapsed="false">
      <c r="A17" s="37" t="s">
        <v>38</v>
      </c>
      <c r="B17" s="32" t="n">
        <v>0</v>
      </c>
      <c r="C17" s="38" t="n">
        <f aca="false">SUMIFS(Transactions!$E$4:$E$400,Transactions!$C$4:$C$400,$A17,Transactions!$F$4:$F$400,9)</f>
        <v>0</v>
      </c>
      <c r="D17" s="38" t="n">
        <f aca="false">C17-B17</f>
        <v>0</v>
      </c>
    </row>
    <row r="18" customFormat="false" ht="15" hidden="false" customHeight="false" outlineLevel="0" collapsed="false">
      <c r="A18" s="37" t="s">
        <v>39</v>
      </c>
      <c r="B18" s="32" t="n">
        <v>0</v>
      </c>
      <c r="C18" s="38" t="n">
        <f aca="false">SUMIFS(Transactions!$E$4:$E$400,Transactions!$C$4:$C$400,$A18,Transactions!$F$4:$F$400,9)</f>
        <v>0</v>
      </c>
      <c r="D18" s="38" t="n">
        <f aca="false">C18-B18</f>
        <v>0</v>
      </c>
    </row>
    <row r="19" customFormat="false" ht="15" hidden="false" customHeight="false" outlineLevel="0" collapsed="false">
      <c r="A19" s="37" t="s">
        <v>40</v>
      </c>
      <c r="B19" s="32" t="n">
        <v>0</v>
      </c>
      <c r="C19" s="38" t="n">
        <f aca="false">SUMIFS(Transactions!$E$4:$E$400,Transactions!$C$4:$C$400,$A19,Transactions!$F$4:$F$400,9)</f>
        <v>0</v>
      </c>
      <c r="D19" s="38" t="n">
        <f aca="false">C19-B19</f>
        <v>0</v>
      </c>
    </row>
    <row r="20" customFormat="false" ht="15" hidden="false" customHeight="false" outlineLevel="0" collapsed="false">
      <c r="A20" s="37" t="s">
        <v>41</v>
      </c>
      <c r="B20" s="32" t="n">
        <v>0</v>
      </c>
      <c r="C20" s="38" t="n">
        <f aca="false">SUMIFS(Transactions!$E$4:$E$400,Transactions!$C$4:$C$400,$A20,Transactions!$F$4:$F$400,9)</f>
        <v>0</v>
      </c>
      <c r="D20" s="38" t="n">
        <f aca="false">C20-B20</f>
        <v>0</v>
      </c>
    </row>
    <row r="21" customFormat="false" ht="15" hidden="false" customHeight="false" outlineLevel="0" collapsed="false">
      <c r="A21" s="37" t="s">
        <v>42</v>
      </c>
      <c r="B21" s="32" t="n">
        <v>0</v>
      </c>
      <c r="C21" s="38" t="n">
        <f aca="false">SUMIFS(Transactions!$E$4:$E$400,Transactions!$C$4:$C$400,$A21,Transactions!$F$4:$F$400,9)</f>
        <v>0</v>
      </c>
      <c r="D21" s="38" t="n">
        <f aca="false">C21-B21</f>
        <v>0</v>
      </c>
    </row>
    <row r="22" customFormat="false" ht="15" hidden="false" customHeight="false" outlineLevel="0" collapsed="false">
      <c r="A22" s="37" t="s">
        <v>43</v>
      </c>
      <c r="B22" s="32" t="n">
        <v>0</v>
      </c>
      <c r="C22" s="38" t="n">
        <f aca="false">SUMIFS(Transactions!$E$4:$E$400,Transactions!$C$4:$C$400,$A22,Transactions!$F$4:$F$400,9)</f>
        <v>0</v>
      </c>
      <c r="D22" s="38" t="n">
        <f aca="false">C22-B22</f>
        <v>0</v>
      </c>
    </row>
    <row r="23" customFormat="false" ht="15" hidden="false" customHeight="false" outlineLevel="0" collapsed="false">
      <c r="A23" s="34" t="s">
        <v>70</v>
      </c>
      <c r="B23" s="35" t="n">
        <f aca="false">SUM(B15:B22)</f>
        <v>0</v>
      </c>
      <c r="C23" s="35" t="n">
        <f aca="false">SUM(C15:C22)</f>
        <v>0</v>
      </c>
      <c r="D23" s="35" t="n">
        <f aca="false">SUM(D15:D22)</f>
        <v>0</v>
      </c>
    </row>
    <row r="25" customFormat="false" ht="18.75" hidden="false" customHeight="true" outlineLevel="0" collapsed="false">
      <c r="A25" s="39" t="s">
        <v>71</v>
      </c>
      <c r="B25" s="39"/>
      <c r="C25" s="39"/>
      <c r="D25" s="39"/>
    </row>
    <row r="26" customFormat="false" ht="15" hidden="false" customHeight="false" outlineLevel="0" collapsed="false">
      <c r="A26" s="40" t="s">
        <v>44</v>
      </c>
      <c r="B26" s="32" t="n">
        <v>0</v>
      </c>
      <c r="C26" s="41" t="n">
        <f aca="false">SUMIFS(Transactions!$E$4:$E$400,Transactions!$C$4:$C$400,$A26,Transactions!$F$4:$F$400,9)</f>
        <v>0</v>
      </c>
      <c r="D26" s="41" t="n">
        <f aca="false">C26-B26</f>
        <v>0</v>
      </c>
    </row>
    <row r="27" customFormat="false" ht="15" hidden="false" customHeight="false" outlineLevel="0" collapsed="false">
      <c r="A27" s="40" t="s">
        <v>45</v>
      </c>
      <c r="B27" s="32" t="n">
        <v>0</v>
      </c>
      <c r="C27" s="41" t="n">
        <f aca="false">SUMIFS(Transactions!$E$4:$E$400,Transactions!$C$4:$C$400,$A27,Transactions!$F$4:$F$400,9)</f>
        <v>0</v>
      </c>
      <c r="D27" s="41" t="n">
        <f aca="false">C27-B27</f>
        <v>0</v>
      </c>
    </row>
    <row r="28" customFormat="false" ht="15" hidden="false" customHeight="false" outlineLevel="0" collapsed="false">
      <c r="A28" s="40" t="s">
        <v>46</v>
      </c>
      <c r="B28" s="32" t="n">
        <v>0</v>
      </c>
      <c r="C28" s="41" t="n">
        <f aca="false">SUMIFS(Transactions!$E$4:$E$400,Transactions!$C$4:$C$400,$A28,Transactions!$F$4:$F$400,9)</f>
        <v>0</v>
      </c>
      <c r="D28" s="41" t="n">
        <f aca="false">C28-B28</f>
        <v>0</v>
      </c>
    </row>
    <row r="29" customFormat="false" ht="15" hidden="false" customHeight="false" outlineLevel="0" collapsed="false">
      <c r="A29" s="40" t="s">
        <v>47</v>
      </c>
      <c r="B29" s="32" t="n">
        <v>0</v>
      </c>
      <c r="C29" s="41" t="n">
        <f aca="false">SUMIFS(Transactions!$E$4:$E$400,Transactions!$C$4:$C$400,$A29,Transactions!$F$4:$F$400,9)</f>
        <v>0</v>
      </c>
      <c r="D29" s="41" t="n">
        <f aca="false">C29-B29</f>
        <v>0</v>
      </c>
    </row>
    <row r="30" customFormat="false" ht="15" hidden="false" customHeight="false" outlineLevel="0" collapsed="false">
      <c r="A30" s="40" t="s">
        <v>48</v>
      </c>
      <c r="B30" s="32" t="n">
        <v>0</v>
      </c>
      <c r="C30" s="41" t="n">
        <f aca="false">SUMIFS(Transactions!$E$4:$E$400,Transactions!$C$4:$C$400,$A30,Transactions!$F$4:$F$400,9)</f>
        <v>0</v>
      </c>
      <c r="D30" s="41" t="n">
        <f aca="false">C30-B30</f>
        <v>0</v>
      </c>
    </row>
    <row r="31" customFormat="false" ht="15" hidden="false" customHeight="false" outlineLevel="0" collapsed="false">
      <c r="A31" s="40" t="s">
        <v>49</v>
      </c>
      <c r="B31" s="32" t="n">
        <v>0</v>
      </c>
      <c r="C31" s="41" t="n">
        <f aca="false">SUMIFS(Transactions!$E$4:$E$400,Transactions!$C$4:$C$400,$A31,Transactions!$F$4:$F$400,9)</f>
        <v>0</v>
      </c>
      <c r="D31" s="41" t="n">
        <f aca="false">C31-B31</f>
        <v>0</v>
      </c>
    </row>
    <row r="32" customFormat="false" ht="15" hidden="false" customHeight="false" outlineLevel="0" collapsed="false">
      <c r="A32" s="40" t="s">
        <v>50</v>
      </c>
      <c r="B32" s="32" t="n">
        <v>0</v>
      </c>
      <c r="C32" s="41" t="n">
        <f aca="false">SUMIFS(Transactions!$E$4:$E$400,Transactions!$C$4:$C$400,$A32,Transactions!$F$4:$F$400,9)</f>
        <v>0</v>
      </c>
      <c r="D32" s="41" t="n">
        <f aca="false">C32-B32</f>
        <v>0</v>
      </c>
    </row>
    <row r="33" customFormat="false" ht="15" hidden="false" customHeight="false" outlineLevel="0" collapsed="false">
      <c r="A33" s="40" t="s">
        <v>51</v>
      </c>
      <c r="B33" s="32" t="n">
        <v>0</v>
      </c>
      <c r="C33" s="41" t="n">
        <f aca="false">SUMIFS(Transactions!$E$4:$E$400,Transactions!$C$4:$C$400,$A33,Transactions!$F$4:$F$400,9)</f>
        <v>0</v>
      </c>
      <c r="D33" s="41" t="n">
        <f aca="false">C33-B33</f>
        <v>0</v>
      </c>
    </row>
    <row r="34" customFormat="false" ht="15" hidden="false" customHeight="false" outlineLevel="0" collapsed="false">
      <c r="A34" s="40" t="s">
        <v>52</v>
      </c>
      <c r="B34" s="32" t="n">
        <v>0</v>
      </c>
      <c r="C34" s="41" t="n">
        <f aca="false">SUMIFS(Transactions!$E$4:$E$400,Transactions!$C$4:$C$400,$A34,Transactions!$F$4:$F$400,9)</f>
        <v>0</v>
      </c>
      <c r="D34" s="41" t="n">
        <f aca="false">C34-B34</f>
        <v>0</v>
      </c>
    </row>
    <row r="35" customFormat="false" ht="15" hidden="false" customHeight="false" outlineLevel="0" collapsed="false">
      <c r="A35" s="40" t="s">
        <v>53</v>
      </c>
      <c r="B35" s="32" t="n">
        <v>0</v>
      </c>
      <c r="C35" s="41" t="n">
        <f aca="false">SUMIFS(Transactions!$E$4:$E$400,Transactions!$C$4:$C$400,$A35,Transactions!$F$4:$F$400,9)</f>
        <v>0</v>
      </c>
      <c r="D35" s="41" t="n">
        <f aca="false">C35-B35</f>
        <v>0</v>
      </c>
    </row>
    <row r="36" customFormat="false" ht="15" hidden="false" customHeight="false" outlineLevel="0" collapsed="false">
      <c r="A36" s="40" t="s">
        <v>54</v>
      </c>
      <c r="B36" s="32" t="n">
        <v>0</v>
      </c>
      <c r="C36" s="41" t="n">
        <f aca="false">SUMIFS(Transactions!$E$4:$E$400,Transactions!$C$4:$C$400,$A36,Transactions!$F$4:$F$400,9)</f>
        <v>0</v>
      </c>
      <c r="D36" s="41" t="n">
        <f aca="false">C36-B36</f>
        <v>0</v>
      </c>
    </row>
    <row r="37" customFormat="false" ht="15" hidden="false" customHeight="false" outlineLevel="0" collapsed="false">
      <c r="A37" s="40" t="s">
        <v>55</v>
      </c>
      <c r="B37" s="32" t="n">
        <v>0</v>
      </c>
      <c r="C37" s="41" t="n">
        <f aca="false">SUMIFS(Transactions!$E$4:$E$400,Transactions!$C$4:$C$400,$A37,Transactions!$F$4:$F$400,9)</f>
        <v>0</v>
      </c>
      <c r="D37" s="41" t="n">
        <f aca="false">C37-B37</f>
        <v>0</v>
      </c>
    </row>
    <row r="38" customFormat="false" ht="15" hidden="false" customHeight="false" outlineLevel="0" collapsed="false">
      <c r="A38" s="34" t="s">
        <v>72</v>
      </c>
      <c r="B38" s="35" t="n">
        <f aca="false">SUM(B26:B37)</f>
        <v>0</v>
      </c>
      <c r="C38" s="35" t="n">
        <f aca="false">SUM(C26:C37)</f>
        <v>0</v>
      </c>
      <c r="D38" s="35" t="n">
        <f aca="false">SUM(D26:D37)</f>
        <v>0</v>
      </c>
    </row>
    <row r="40" customFormat="false" ht="18.75" hidden="false" customHeight="true" outlineLevel="0" collapsed="false">
      <c r="A40" s="42" t="s">
        <v>73</v>
      </c>
      <c r="B40" s="42"/>
      <c r="C40" s="42"/>
      <c r="D40" s="42"/>
    </row>
    <row r="41" customFormat="false" ht="15" hidden="false" customHeight="false" outlineLevel="0" collapsed="false">
      <c r="A41" s="43" t="s">
        <v>74</v>
      </c>
      <c r="B41" s="32" t="n">
        <v>0</v>
      </c>
      <c r="C41" s="44" t="n">
        <f aca="false">SUMIFS(Transactions!$E$4:$E$400,Transactions!$C$4:$C$400,$A41,Transactions!$F$4:$F$400,9)</f>
        <v>0</v>
      </c>
      <c r="D41" s="44" t="n">
        <f aca="false">C41-B41</f>
        <v>0</v>
      </c>
    </row>
    <row r="42" customFormat="false" ht="15" hidden="false" customHeight="false" outlineLevel="0" collapsed="false">
      <c r="A42" s="43" t="s">
        <v>75</v>
      </c>
      <c r="B42" s="32" t="n">
        <v>0</v>
      </c>
      <c r="C42" s="44" t="n">
        <f aca="false">SUMIFS(Transactions!$E$4:$E$400,Transactions!$C$4:$C$400,$A42,Transactions!$F$4:$F$400,9)</f>
        <v>0</v>
      </c>
      <c r="D42" s="44" t="n">
        <f aca="false">C42-B42</f>
        <v>0</v>
      </c>
    </row>
    <row r="43" customFormat="false" ht="15" hidden="false" customHeight="false" outlineLevel="0" collapsed="false">
      <c r="A43" s="43" t="s">
        <v>76</v>
      </c>
      <c r="B43" s="32" t="n">
        <v>0</v>
      </c>
      <c r="C43" s="44" t="n">
        <f aca="false">SUMIFS(Transactions!$E$4:$E$400,Transactions!$C$4:$C$400,$A43,Transactions!$F$4:$F$400,9)</f>
        <v>0</v>
      </c>
      <c r="D43" s="44" t="n">
        <f aca="false">C43-B43</f>
        <v>0</v>
      </c>
    </row>
    <row r="44" customFormat="false" ht="15" hidden="false" customHeight="false" outlineLevel="0" collapsed="false">
      <c r="A44" s="43" t="s">
        <v>77</v>
      </c>
      <c r="B44" s="32" t="n">
        <v>0</v>
      </c>
      <c r="C44" s="44" t="n">
        <f aca="false">SUMIFS(Transactions!$E$4:$E$400,Transactions!$C$4:$C$400,$A44,Transactions!$F$4:$F$400,9)</f>
        <v>0</v>
      </c>
      <c r="D44" s="44" t="n">
        <f aca="false">C44-B44</f>
        <v>0</v>
      </c>
    </row>
    <row r="45" customFormat="false" ht="15" hidden="false" customHeight="false" outlineLevel="0" collapsed="false">
      <c r="A45" s="43" t="s">
        <v>78</v>
      </c>
      <c r="B45" s="32" t="n">
        <v>0</v>
      </c>
      <c r="C45" s="44" t="n">
        <f aca="false">SUMIFS(Transactions!$E$4:$E$400,Transactions!$C$4:$C$400,$A45,Transactions!$F$4:$F$400,9)</f>
        <v>0</v>
      </c>
      <c r="D45" s="44" t="n">
        <f aca="false">C45-B45</f>
        <v>0</v>
      </c>
    </row>
    <row r="46" customFormat="false" ht="15" hidden="false" customHeight="false" outlineLevel="0" collapsed="false">
      <c r="A46" s="43" t="s">
        <v>79</v>
      </c>
      <c r="B46" s="32" t="n">
        <v>0</v>
      </c>
      <c r="C46" s="44" t="n">
        <f aca="false">SUMIFS(Transactions!$E$4:$E$400,Transactions!$C$4:$C$400,$A46,Transactions!$F$4:$F$400,9)</f>
        <v>0</v>
      </c>
      <c r="D46" s="44" t="n">
        <f aca="false">C46-B46</f>
        <v>0</v>
      </c>
    </row>
    <row r="47" customFormat="false" ht="15" hidden="false" customHeight="false" outlineLevel="0" collapsed="false">
      <c r="A47" s="34" t="s">
        <v>80</v>
      </c>
      <c r="B47" s="35" t="n">
        <f aca="false">SUM(B41:B46)</f>
        <v>0</v>
      </c>
      <c r="C47" s="35" t="n">
        <f aca="false">SUM(C41:C46)</f>
        <v>0</v>
      </c>
      <c r="D47" s="35" t="n">
        <f aca="false">SUM(D41:D46)</f>
        <v>0</v>
      </c>
    </row>
    <row r="49" customFormat="false" ht="18.75" hidden="false" customHeight="true" outlineLevel="0" collapsed="false">
      <c r="A49" s="45" t="s">
        <v>81</v>
      </c>
      <c r="B49" s="45"/>
      <c r="C49" s="45"/>
      <c r="D49" s="45"/>
    </row>
    <row r="50" customFormat="false" ht="15" hidden="false" customHeight="false" outlineLevel="0" collapsed="false">
      <c r="A50" s="46" t="s">
        <v>68</v>
      </c>
      <c r="B50" s="47" t="n">
        <f aca="false">B12</f>
        <v>0</v>
      </c>
      <c r="C50" s="47" t="n">
        <f aca="false">C12</f>
        <v>0</v>
      </c>
      <c r="D50" s="47" t="n">
        <f aca="false">C50-B50</f>
        <v>0</v>
      </c>
    </row>
    <row r="51" customFormat="false" ht="15" hidden="false" customHeight="false" outlineLevel="0" collapsed="false">
      <c r="A51" s="46" t="s">
        <v>82</v>
      </c>
      <c r="B51" s="47" t="n">
        <f aca="false">B23+B38</f>
        <v>0</v>
      </c>
      <c r="C51" s="47" t="n">
        <f aca="false">C23+C38</f>
        <v>0</v>
      </c>
      <c r="D51" s="47" t="n">
        <f aca="false">C51-B51</f>
        <v>0</v>
      </c>
    </row>
    <row r="52" customFormat="false" ht="15" hidden="false" customHeight="false" outlineLevel="0" collapsed="false">
      <c r="A52" s="46" t="s">
        <v>83</v>
      </c>
      <c r="B52" s="47" t="n">
        <f aca="false">B47</f>
        <v>0</v>
      </c>
      <c r="C52" s="47" t="n">
        <f aca="false">C47</f>
        <v>0</v>
      </c>
      <c r="D52" s="47" t="n">
        <f aca="false">C52-B52</f>
        <v>0</v>
      </c>
    </row>
    <row r="53" customFormat="false" ht="15" hidden="false" customHeight="false" outlineLevel="0" collapsed="false">
      <c r="A53" s="48" t="s">
        <v>84</v>
      </c>
      <c r="B53" s="49" t="n">
        <f aca="false">B50-B51-B52</f>
        <v>0</v>
      </c>
      <c r="C53" s="49" t="n">
        <f aca="false">C50-C51-C52</f>
        <v>0</v>
      </c>
      <c r="D53" s="49" t="n">
        <f aca="false">C53-B53</f>
        <v>0</v>
      </c>
    </row>
  </sheetData>
  <mergeCells count="7">
    <mergeCell ref="A1:D1"/>
    <mergeCell ref="A2:D2"/>
    <mergeCell ref="A5:D5"/>
    <mergeCell ref="A14:D14"/>
    <mergeCell ref="A25:D25"/>
    <mergeCell ref="A40:D40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"/>
  </cols>
  <sheetData>
    <row r="1" customFormat="false" ht="30" hidden="false" customHeight="true" outlineLevel="0" collapsed="false">
      <c r="A1" s="27" t="str">
        <f aca="false">"OCTOBER"&amp;" "&amp;Welcome!$B$7&amp;" BUDGET"</f>
        <v>OCTOBER 2026 BUDGET</v>
      </c>
      <c r="B1" s="27"/>
      <c r="C1" s="27"/>
      <c r="D1" s="27"/>
    </row>
    <row r="2" customFormat="false" ht="15" hidden="false" customHeight="false" outlineLevel="0" collapsed="false">
      <c r="A2" s="28" t="s">
        <v>56</v>
      </c>
      <c r="B2" s="28"/>
      <c r="C2" s="28"/>
      <c r="D2" s="28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</row>
    <row r="5" customFormat="false" ht="18.75" hidden="false" customHeight="true" outlineLevel="0" collapsed="false">
      <c r="A5" s="30" t="s">
        <v>61</v>
      </c>
      <c r="B5" s="30"/>
      <c r="C5" s="30"/>
      <c r="D5" s="30"/>
    </row>
    <row r="6" customFormat="false" ht="15" hidden="false" customHeight="false" outlineLevel="0" collapsed="false">
      <c r="A6" s="31" t="s">
        <v>62</v>
      </c>
      <c r="B6" s="32" t="n">
        <v>0</v>
      </c>
      <c r="C6" s="33" t="n">
        <f aca="false">SUMIFS(Transactions!$E$4:$E$400,Transactions!$C$4:$C$400,$A6,Transactions!$F$4:$F$400,10)</f>
        <v>0</v>
      </c>
      <c r="D6" s="33" t="n">
        <f aca="false">C6-B6</f>
        <v>0</v>
      </c>
    </row>
    <row r="7" customFormat="false" ht="15" hidden="false" customHeight="false" outlineLevel="0" collapsed="false">
      <c r="A7" s="31" t="s">
        <v>63</v>
      </c>
      <c r="B7" s="32" t="n">
        <v>0</v>
      </c>
      <c r="C7" s="33" t="n">
        <f aca="false">SUMIFS(Transactions!$E$4:$E$400,Transactions!$C$4:$C$400,$A7,Transactions!$F$4:$F$400,10)</f>
        <v>0</v>
      </c>
      <c r="D7" s="33" t="n">
        <f aca="false">C7-B7</f>
        <v>0</v>
      </c>
    </row>
    <row r="8" customFormat="false" ht="15" hidden="false" customHeight="false" outlineLevel="0" collapsed="false">
      <c r="A8" s="31" t="s">
        <v>64</v>
      </c>
      <c r="B8" s="32" t="n">
        <v>0</v>
      </c>
      <c r="C8" s="33" t="n">
        <f aca="false">SUMIFS(Transactions!$E$4:$E$400,Transactions!$C$4:$C$400,$A8,Transactions!$F$4:$F$400,10)</f>
        <v>0</v>
      </c>
      <c r="D8" s="33" t="n">
        <f aca="false">C8-B8</f>
        <v>0</v>
      </c>
    </row>
    <row r="9" customFormat="false" ht="15" hidden="false" customHeight="false" outlineLevel="0" collapsed="false">
      <c r="A9" s="31" t="s">
        <v>65</v>
      </c>
      <c r="B9" s="32" t="n">
        <v>0</v>
      </c>
      <c r="C9" s="33" t="n">
        <f aca="false">SUMIFS(Transactions!$E$4:$E$400,Transactions!$C$4:$C$400,$A9,Transactions!$F$4:$F$400,10)</f>
        <v>0</v>
      </c>
      <c r="D9" s="33" t="n">
        <f aca="false">C9-B9</f>
        <v>0</v>
      </c>
    </row>
    <row r="10" customFormat="false" ht="15" hidden="false" customHeight="false" outlineLevel="0" collapsed="false">
      <c r="A10" s="31" t="s">
        <v>66</v>
      </c>
      <c r="B10" s="32" t="n">
        <v>0</v>
      </c>
      <c r="C10" s="33" t="n">
        <f aca="false">SUMIFS(Transactions!$E$4:$E$400,Transactions!$C$4:$C$400,$A10,Transactions!$F$4:$F$400,10)</f>
        <v>0</v>
      </c>
      <c r="D10" s="33" t="n">
        <f aca="false">C10-B10</f>
        <v>0</v>
      </c>
    </row>
    <row r="11" customFormat="false" ht="15" hidden="false" customHeight="false" outlineLevel="0" collapsed="false">
      <c r="A11" s="31" t="s">
        <v>67</v>
      </c>
      <c r="B11" s="32" t="n">
        <v>0</v>
      </c>
      <c r="C11" s="33" t="n">
        <f aca="false">SUMIFS(Transactions!$E$4:$E$400,Transactions!$C$4:$C$400,$A11,Transactions!$F$4:$F$400,10)</f>
        <v>0</v>
      </c>
      <c r="D11" s="33" t="n">
        <f aca="false">C11-B11</f>
        <v>0</v>
      </c>
    </row>
    <row r="12" customFormat="false" ht="15" hidden="false" customHeight="false" outlineLevel="0" collapsed="false">
      <c r="A12" s="34" t="s">
        <v>68</v>
      </c>
      <c r="B12" s="35" t="n">
        <f aca="false">SUM(B6:B11)</f>
        <v>0</v>
      </c>
      <c r="C12" s="35" t="n">
        <f aca="false">SUM(C6:C11)</f>
        <v>0</v>
      </c>
      <c r="D12" s="35" t="n">
        <f aca="false">SUM(D6:D11)</f>
        <v>0</v>
      </c>
    </row>
    <row r="14" customFormat="false" ht="18.75" hidden="false" customHeight="true" outlineLevel="0" collapsed="false">
      <c r="A14" s="36" t="s">
        <v>69</v>
      </c>
      <c r="B14" s="36"/>
      <c r="C14" s="36"/>
      <c r="D14" s="36"/>
    </row>
    <row r="15" customFormat="false" ht="15" hidden="false" customHeight="false" outlineLevel="0" collapsed="false">
      <c r="A15" s="37" t="s">
        <v>36</v>
      </c>
      <c r="B15" s="32" t="n">
        <v>0</v>
      </c>
      <c r="C15" s="38" t="n">
        <f aca="false">SUMIFS(Transactions!$E$4:$E$400,Transactions!$C$4:$C$400,$A15,Transactions!$F$4:$F$400,10)</f>
        <v>0</v>
      </c>
      <c r="D15" s="38" t="n">
        <f aca="false">C15-B15</f>
        <v>0</v>
      </c>
    </row>
    <row r="16" customFormat="false" ht="15" hidden="false" customHeight="false" outlineLevel="0" collapsed="false">
      <c r="A16" s="37" t="s">
        <v>37</v>
      </c>
      <c r="B16" s="32" t="n">
        <v>0</v>
      </c>
      <c r="C16" s="38" t="n">
        <f aca="false">SUMIFS(Transactions!$E$4:$E$400,Transactions!$C$4:$C$400,$A16,Transactions!$F$4:$F$400,10)</f>
        <v>0</v>
      </c>
      <c r="D16" s="38" t="n">
        <f aca="false">C16-B16</f>
        <v>0</v>
      </c>
    </row>
    <row r="17" customFormat="false" ht="15" hidden="false" customHeight="false" outlineLevel="0" collapsed="false">
      <c r="A17" s="37" t="s">
        <v>38</v>
      </c>
      <c r="B17" s="32" t="n">
        <v>0</v>
      </c>
      <c r="C17" s="38" t="n">
        <f aca="false">SUMIFS(Transactions!$E$4:$E$400,Transactions!$C$4:$C$400,$A17,Transactions!$F$4:$F$400,10)</f>
        <v>0</v>
      </c>
      <c r="D17" s="38" t="n">
        <f aca="false">C17-B17</f>
        <v>0</v>
      </c>
    </row>
    <row r="18" customFormat="false" ht="15" hidden="false" customHeight="false" outlineLevel="0" collapsed="false">
      <c r="A18" s="37" t="s">
        <v>39</v>
      </c>
      <c r="B18" s="32" t="n">
        <v>0</v>
      </c>
      <c r="C18" s="38" t="n">
        <f aca="false">SUMIFS(Transactions!$E$4:$E$400,Transactions!$C$4:$C$400,$A18,Transactions!$F$4:$F$400,10)</f>
        <v>0</v>
      </c>
      <c r="D18" s="38" t="n">
        <f aca="false">C18-B18</f>
        <v>0</v>
      </c>
    </row>
    <row r="19" customFormat="false" ht="15" hidden="false" customHeight="false" outlineLevel="0" collapsed="false">
      <c r="A19" s="37" t="s">
        <v>40</v>
      </c>
      <c r="B19" s="32" t="n">
        <v>0</v>
      </c>
      <c r="C19" s="38" t="n">
        <f aca="false">SUMIFS(Transactions!$E$4:$E$400,Transactions!$C$4:$C$400,$A19,Transactions!$F$4:$F$400,10)</f>
        <v>0</v>
      </c>
      <c r="D19" s="38" t="n">
        <f aca="false">C19-B19</f>
        <v>0</v>
      </c>
    </row>
    <row r="20" customFormat="false" ht="15" hidden="false" customHeight="false" outlineLevel="0" collapsed="false">
      <c r="A20" s="37" t="s">
        <v>41</v>
      </c>
      <c r="B20" s="32" t="n">
        <v>0</v>
      </c>
      <c r="C20" s="38" t="n">
        <f aca="false">SUMIFS(Transactions!$E$4:$E$400,Transactions!$C$4:$C$400,$A20,Transactions!$F$4:$F$400,10)</f>
        <v>0</v>
      </c>
      <c r="D20" s="38" t="n">
        <f aca="false">C20-B20</f>
        <v>0</v>
      </c>
    </row>
    <row r="21" customFormat="false" ht="15" hidden="false" customHeight="false" outlineLevel="0" collapsed="false">
      <c r="A21" s="37" t="s">
        <v>42</v>
      </c>
      <c r="B21" s="32" t="n">
        <v>0</v>
      </c>
      <c r="C21" s="38" t="n">
        <f aca="false">SUMIFS(Transactions!$E$4:$E$400,Transactions!$C$4:$C$400,$A21,Transactions!$F$4:$F$400,10)</f>
        <v>0</v>
      </c>
      <c r="D21" s="38" t="n">
        <f aca="false">C21-B21</f>
        <v>0</v>
      </c>
    </row>
    <row r="22" customFormat="false" ht="15" hidden="false" customHeight="false" outlineLevel="0" collapsed="false">
      <c r="A22" s="37" t="s">
        <v>43</v>
      </c>
      <c r="B22" s="32" t="n">
        <v>0</v>
      </c>
      <c r="C22" s="38" t="n">
        <f aca="false">SUMIFS(Transactions!$E$4:$E$400,Transactions!$C$4:$C$400,$A22,Transactions!$F$4:$F$400,10)</f>
        <v>0</v>
      </c>
      <c r="D22" s="38" t="n">
        <f aca="false">C22-B22</f>
        <v>0</v>
      </c>
    </row>
    <row r="23" customFormat="false" ht="15" hidden="false" customHeight="false" outlineLevel="0" collapsed="false">
      <c r="A23" s="34" t="s">
        <v>70</v>
      </c>
      <c r="B23" s="35" t="n">
        <f aca="false">SUM(B15:B22)</f>
        <v>0</v>
      </c>
      <c r="C23" s="35" t="n">
        <f aca="false">SUM(C15:C22)</f>
        <v>0</v>
      </c>
      <c r="D23" s="35" t="n">
        <f aca="false">SUM(D15:D22)</f>
        <v>0</v>
      </c>
    </row>
    <row r="25" customFormat="false" ht="18.75" hidden="false" customHeight="true" outlineLevel="0" collapsed="false">
      <c r="A25" s="39" t="s">
        <v>71</v>
      </c>
      <c r="B25" s="39"/>
      <c r="C25" s="39"/>
      <c r="D25" s="39"/>
    </row>
    <row r="26" customFormat="false" ht="15" hidden="false" customHeight="false" outlineLevel="0" collapsed="false">
      <c r="A26" s="40" t="s">
        <v>44</v>
      </c>
      <c r="B26" s="32" t="n">
        <v>0</v>
      </c>
      <c r="C26" s="41" t="n">
        <f aca="false">SUMIFS(Transactions!$E$4:$E$400,Transactions!$C$4:$C$400,$A26,Transactions!$F$4:$F$400,10)</f>
        <v>0</v>
      </c>
      <c r="D26" s="41" t="n">
        <f aca="false">C26-B26</f>
        <v>0</v>
      </c>
    </row>
    <row r="27" customFormat="false" ht="15" hidden="false" customHeight="false" outlineLevel="0" collapsed="false">
      <c r="A27" s="40" t="s">
        <v>45</v>
      </c>
      <c r="B27" s="32" t="n">
        <v>0</v>
      </c>
      <c r="C27" s="41" t="n">
        <f aca="false">SUMIFS(Transactions!$E$4:$E$400,Transactions!$C$4:$C$400,$A27,Transactions!$F$4:$F$400,10)</f>
        <v>0</v>
      </c>
      <c r="D27" s="41" t="n">
        <f aca="false">C27-B27</f>
        <v>0</v>
      </c>
    </row>
    <row r="28" customFormat="false" ht="15" hidden="false" customHeight="false" outlineLevel="0" collapsed="false">
      <c r="A28" s="40" t="s">
        <v>46</v>
      </c>
      <c r="B28" s="32" t="n">
        <v>0</v>
      </c>
      <c r="C28" s="41" t="n">
        <f aca="false">SUMIFS(Transactions!$E$4:$E$400,Transactions!$C$4:$C$400,$A28,Transactions!$F$4:$F$400,10)</f>
        <v>0</v>
      </c>
      <c r="D28" s="41" t="n">
        <f aca="false">C28-B28</f>
        <v>0</v>
      </c>
    </row>
    <row r="29" customFormat="false" ht="15" hidden="false" customHeight="false" outlineLevel="0" collapsed="false">
      <c r="A29" s="40" t="s">
        <v>47</v>
      </c>
      <c r="B29" s="32" t="n">
        <v>0</v>
      </c>
      <c r="C29" s="41" t="n">
        <f aca="false">SUMIFS(Transactions!$E$4:$E$400,Transactions!$C$4:$C$400,$A29,Transactions!$F$4:$F$400,10)</f>
        <v>0</v>
      </c>
      <c r="D29" s="41" t="n">
        <f aca="false">C29-B29</f>
        <v>0</v>
      </c>
    </row>
    <row r="30" customFormat="false" ht="15" hidden="false" customHeight="false" outlineLevel="0" collapsed="false">
      <c r="A30" s="40" t="s">
        <v>48</v>
      </c>
      <c r="B30" s="32" t="n">
        <v>0</v>
      </c>
      <c r="C30" s="41" t="n">
        <f aca="false">SUMIFS(Transactions!$E$4:$E$400,Transactions!$C$4:$C$400,$A30,Transactions!$F$4:$F$400,10)</f>
        <v>0</v>
      </c>
      <c r="D30" s="41" t="n">
        <f aca="false">C30-B30</f>
        <v>0</v>
      </c>
    </row>
    <row r="31" customFormat="false" ht="15" hidden="false" customHeight="false" outlineLevel="0" collapsed="false">
      <c r="A31" s="40" t="s">
        <v>49</v>
      </c>
      <c r="B31" s="32" t="n">
        <v>0</v>
      </c>
      <c r="C31" s="41" t="n">
        <f aca="false">SUMIFS(Transactions!$E$4:$E$400,Transactions!$C$4:$C$400,$A31,Transactions!$F$4:$F$400,10)</f>
        <v>0</v>
      </c>
      <c r="D31" s="41" t="n">
        <f aca="false">C31-B31</f>
        <v>0</v>
      </c>
    </row>
    <row r="32" customFormat="false" ht="15" hidden="false" customHeight="false" outlineLevel="0" collapsed="false">
      <c r="A32" s="40" t="s">
        <v>50</v>
      </c>
      <c r="B32" s="32" t="n">
        <v>0</v>
      </c>
      <c r="C32" s="41" t="n">
        <f aca="false">SUMIFS(Transactions!$E$4:$E$400,Transactions!$C$4:$C$400,$A32,Transactions!$F$4:$F$400,10)</f>
        <v>0</v>
      </c>
      <c r="D32" s="41" t="n">
        <f aca="false">C32-B32</f>
        <v>0</v>
      </c>
    </row>
    <row r="33" customFormat="false" ht="15" hidden="false" customHeight="false" outlineLevel="0" collapsed="false">
      <c r="A33" s="40" t="s">
        <v>51</v>
      </c>
      <c r="B33" s="32" t="n">
        <v>0</v>
      </c>
      <c r="C33" s="41" t="n">
        <f aca="false">SUMIFS(Transactions!$E$4:$E$400,Transactions!$C$4:$C$400,$A33,Transactions!$F$4:$F$400,10)</f>
        <v>0</v>
      </c>
      <c r="D33" s="41" t="n">
        <f aca="false">C33-B33</f>
        <v>0</v>
      </c>
    </row>
    <row r="34" customFormat="false" ht="15" hidden="false" customHeight="false" outlineLevel="0" collapsed="false">
      <c r="A34" s="40" t="s">
        <v>52</v>
      </c>
      <c r="B34" s="32" t="n">
        <v>0</v>
      </c>
      <c r="C34" s="41" t="n">
        <f aca="false">SUMIFS(Transactions!$E$4:$E$400,Transactions!$C$4:$C$400,$A34,Transactions!$F$4:$F$400,10)</f>
        <v>0</v>
      </c>
      <c r="D34" s="41" t="n">
        <f aca="false">C34-B34</f>
        <v>0</v>
      </c>
    </row>
    <row r="35" customFormat="false" ht="15" hidden="false" customHeight="false" outlineLevel="0" collapsed="false">
      <c r="A35" s="40" t="s">
        <v>53</v>
      </c>
      <c r="B35" s="32" t="n">
        <v>0</v>
      </c>
      <c r="C35" s="41" t="n">
        <f aca="false">SUMIFS(Transactions!$E$4:$E$400,Transactions!$C$4:$C$400,$A35,Transactions!$F$4:$F$400,10)</f>
        <v>0</v>
      </c>
      <c r="D35" s="41" t="n">
        <f aca="false">C35-B35</f>
        <v>0</v>
      </c>
    </row>
    <row r="36" customFormat="false" ht="15" hidden="false" customHeight="false" outlineLevel="0" collapsed="false">
      <c r="A36" s="40" t="s">
        <v>54</v>
      </c>
      <c r="B36" s="32" t="n">
        <v>0</v>
      </c>
      <c r="C36" s="41" t="n">
        <f aca="false">SUMIFS(Transactions!$E$4:$E$400,Transactions!$C$4:$C$400,$A36,Transactions!$F$4:$F$400,10)</f>
        <v>0</v>
      </c>
      <c r="D36" s="41" t="n">
        <f aca="false">C36-B36</f>
        <v>0</v>
      </c>
    </row>
    <row r="37" customFormat="false" ht="15" hidden="false" customHeight="false" outlineLevel="0" collapsed="false">
      <c r="A37" s="40" t="s">
        <v>55</v>
      </c>
      <c r="B37" s="32" t="n">
        <v>0</v>
      </c>
      <c r="C37" s="41" t="n">
        <f aca="false">SUMIFS(Transactions!$E$4:$E$400,Transactions!$C$4:$C$400,$A37,Transactions!$F$4:$F$400,10)</f>
        <v>0</v>
      </c>
      <c r="D37" s="41" t="n">
        <f aca="false">C37-B37</f>
        <v>0</v>
      </c>
    </row>
    <row r="38" customFormat="false" ht="15" hidden="false" customHeight="false" outlineLevel="0" collapsed="false">
      <c r="A38" s="34" t="s">
        <v>72</v>
      </c>
      <c r="B38" s="35" t="n">
        <f aca="false">SUM(B26:B37)</f>
        <v>0</v>
      </c>
      <c r="C38" s="35" t="n">
        <f aca="false">SUM(C26:C37)</f>
        <v>0</v>
      </c>
      <c r="D38" s="35" t="n">
        <f aca="false">SUM(D26:D37)</f>
        <v>0</v>
      </c>
    </row>
    <row r="40" customFormat="false" ht="18.75" hidden="false" customHeight="true" outlineLevel="0" collapsed="false">
      <c r="A40" s="42" t="s">
        <v>73</v>
      </c>
      <c r="B40" s="42"/>
      <c r="C40" s="42"/>
      <c r="D40" s="42"/>
    </row>
    <row r="41" customFormat="false" ht="15" hidden="false" customHeight="false" outlineLevel="0" collapsed="false">
      <c r="A41" s="43" t="s">
        <v>74</v>
      </c>
      <c r="B41" s="32" t="n">
        <v>0</v>
      </c>
      <c r="C41" s="44" t="n">
        <f aca="false">SUMIFS(Transactions!$E$4:$E$400,Transactions!$C$4:$C$400,$A41,Transactions!$F$4:$F$400,10)</f>
        <v>0</v>
      </c>
      <c r="D41" s="44" t="n">
        <f aca="false">C41-B41</f>
        <v>0</v>
      </c>
    </row>
    <row r="42" customFormat="false" ht="15" hidden="false" customHeight="false" outlineLevel="0" collapsed="false">
      <c r="A42" s="43" t="s">
        <v>75</v>
      </c>
      <c r="B42" s="32" t="n">
        <v>0</v>
      </c>
      <c r="C42" s="44" t="n">
        <f aca="false">SUMIFS(Transactions!$E$4:$E$400,Transactions!$C$4:$C$400,$A42,Transactions!$F$4:$F$400,10)</f>
        <v>0</v>
      </c>
      <c r="D42" s="44" t="n">
        <f aca="false">C42-B42</f>
        <v>0</v>
      </c>
    </row>
    <row r="43" customFormat="false" ht="15" hidden="false" customHeight="false" outlineLevel="0" collapsed="false">
      <c r="A43" s="43" t="s">
        <v>76</v>
      </c>
      <c r="B43" s="32" t="n">
        <v>0</v>
      </c>
      <c r="C43" s="44" t="n">
        <f aca="false">SUMIFS(Transactions!$E$4:$E$400,Transactions!$C$4:$C$400,$A43,Transactions!$F$4:$F$400,10)</f>
        <v>0</v>
      </c>
      <c r="D43" s="44" t="n">
        <f aca="false">C43-B43</f>
        <v>0</v>
      </c>
    </row>
    <row r="44" customFormat="false" ht="15" hidden="false" customHeight="false" outlineLevel="0" collapsed="false">
      <c r="A44" s="43" t="s">
        <v>77</v>
      </c>
      <c r="B44" s="32" t="n">
        <v>0</v>
      </c>
      <c r="C44" s="44" t="n">
        <f aca="false">SUMIFS(Transactions!$E$4:$E$400,Transactions!$C$4:$C$400,$A44,Transactions!$F$4:$F$400,10)</f>
        <v>0</v>
      </c>
      <c r="D44" s="44" t="n">
        <f aca="false">C44-B44</f>
        <v>0</v>
      </c>
    </row>
    <row r="45" customFormat="false" ht="15" hidden="false" customHeight="false" outlineLevel="0" collapsed="false">
      <c r="A45" s="43" t="s">
        <v>78</v>
      </c>
      <c r="B45" s="32" t="n">
        <v>0</v>
      </c>
      <c r="C45" s="44" t="n">
        <f aca="false">SUMIFS(Transactions!$E$4:$E$400,Transactions!$C$4:$C$400,$A45,Transactions!$F$4:$F$400,10)</f>
        <v>0</v>
      </c>
      <c r="D45" s="44" t="n">
        <f aca="false">C45-B45</f>
        <v>0</v>
      </c>
    </row>
    <row r="46" customFormat="false" ht="15" hidden="false" customHeight="false" outlineLevel="0" collapsed="false">
      <c r="A46" s="43" t="s">
        <v>79</v>
      </c>
      <c r="B46" s="32" t="n">
        <v>0</v>
      </c>
      <c r="C46" s="44" t="n">
        <f aca="false">SUMIFS(Transactions!$E$4:$E$400,Transactions!$C$4:$C$400,$A46,Transactions!$F$4:$F$400,10)</f>
        <v>0</v>
      </c>
      <c r="D46" s="44" t="n">
        <f aca="false">C46-B46</f>
        <v>0</v>
      </c>
    </row>
    <row r="47" customFormat="false" ht="15" hidden="false" customHeight="false" outlineLevel="0" collapsed="false">
      <c r="A47" s="34" t="s">
        <v>80</v>
      </c>
      <c r="B47" s="35" t="n">
        <f aca="false">SUM(B41:B46)</f>
        <v>0</v>
      </c>
      <c r="C47" s="35" t="n">
        <f aca="false">SUM(C41:C46)</f>
        <v>0</v>
      </c>
      <c r="D47" s="35" t="n">
        <f aca="false">SUM(D41:D46)</f>
        <v>0</v>
      </c>
    </row>
    <row r="49" customFormat="false" ht="18.75" hidden="false" customHeight="true" outlineLevel="0" collapsed="false">
      <c r="A49" s="45" t="s">
        <v>81</v>
      </c>
      <c r="B49" s="45"/>
      <c r="C49" s="45"/>
      <c r="D49" s="45"/>
    </row>
    <row r="50" customFormat="false" ht="15" hidden="false" customHeight="false" outlineLevel="0" collapsed="false">
      <c r="A50" s="46" t="s">
        <v>68</v>
      </c>
      <c r="B50" s="47" t="n">
        <f aca="false">B12</f>
        <v>0</v>
      </c>
      <c r="C50" s="47" t="n">
        <f aca="false">C12</f>
        <v>0</v>
      </c>
      <c r="D50" s="47" t="n">
        <f aca="false">C50-B50</f>
        <v>0</v>
      </c>
    </row>
    <row r="51" customFormat="false" ht="15" hidden="false" customHeight="false" outlineLevel="0" collapsed="false">
      <c r="A51" s="46" t="s">
        <v>82</v>
      </c>
      <c r="B51" s="47" t="n">
        <f aca="false">B23+B38</f>
        <v>0</v>
      </c>
      <c r="C51" s="47" t="n">
        <f aca="false">C23+C38</f>
        <v>0</v>
      </c>
      <c r="D51" s="47" t="n">
        <f aca="false">C51-B51</f>
        <v>0</v>
      </c>
    </row>
    <row r="52" customFormat="false" ht="15" hidden="false" customHeight="false" outlineLevel="0" collapsed="false">
      <c r="A52" s="46" t="s">
        <v>83</v>
      </c>
      <c r="B52" s="47" t="n">
        <f aca="false">B47</f>
        <v>0</v>
      </c>
      <c r="C52" s="47" t="n">
        <f aca="false">C47</f>
        <v>0</v>
      </c>
      <c r="D52" s="47" t="n">
        <f aca="false">C52-B52</f>
        <v>0</v>
      </c>
    </row>
    <row r="53" customFormat="false" ht="15" hidden="false" customHeight="false" outlineLevel="0" collapsed="false">
      <c r="A53" s="48" t="s">
        <v>84</v>
      </c>
      <c r="B53" s="49" t="n">
        <f aca="false">B50-B51-B52</f>
        <v>0</v>
      </c>
      <c r="C53" s="49" t="n">
        <f aca="false">C50-C51-C52</f>
        <v>0</v>
      </c>
      <c r="D53" s="49" t="n">
        <f aca="false">C53-B53</f>
        <v>0</v>
      </c>
    </row>
  </sheetData>
  <mergeCells count="7">
    <mergeCell ref="A1:D1"/>
    <mergeCell ref="A2:D2"/>
    <mergeCell ref="A5:D5"/>
    <mergeCell ref="A14:D14"/>
    <mergeCell ref="A25:D25"/>
    <mergeCell ref="A40:D40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62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"/>
  </cols>
  <sheetData>
    <row r="1" customFormat="false" ht="30" hidden="false" customHeight="true" outlineLevel="0" collapsed="false">
      <c r="A1" s="27" t="str">
        <f aca="false">"NOVEMBER"&amp;" "&amp;Welcome!$B$7&amp;" BUDGET"</f>
        <v>NOVEMBER 2026 BUDGET</v>
      </c>
      <c r="B1" s="27"/>
      <c r="C1" s="27"/>
      <c r="D1" s="27"/>
    </row>
    <row r="2" customFormat="false" ht="15" hidden="false" customHeight="false" outlineLevel="0" collapsed="false">
      <c r="A2" s="28" t="s">
        <v>56</v>
      </c>
      <c r="B2" s="28"/>
      <c r="C2" s="28"/>
      <c r="D2" s="28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</row>
    <row r="5" customFormat="false" ht="18.75" hidden="false" customHeight="true" outlineLevel="0" collapsed="false">
      <c r="A5" s="30" t="s">
        <v>61</v>
      </c>
      <c r="B5" s="30"/>
      <c r="C5" s="30"/>
      <c r="D5" s="30"/>
    </row>
    <row r="6" customFormat="false" ht="15" hidden="false" customHeight="false" outlineLevel="0" collapsed="false">
      <c r="A6" s="31" t="s">
        <v>62</v>
      </c>
      <c r="B6" s="32" t="n">
        <v>0</v>
      </c>
      <c r="C6" s="33" t="n">
        <f aca="false">SUMIFS(Transactions!$E$4:$E$400,Transactions!$C$4:$C$400,$A6,Transactions!$F$4:$F$400,11)</f>
        <v>0</v>
      </c>
      <c r="D6" s="33" t="n">
        <f aca="false">C6-B6</f>
        <v>0</v>
      </c>
    </row>
    <row r="7" customFormat="false" ht="15" hidden="false" customHeight="false" outlineLevel="0" collapsed="false">
      <c r="A7" s="31" t="s">
        <v>63</v>
      </c>
      <c r="B7" s="32" t="n">
        <v>0</v>
      </c>
      <c r="C7" s="33" t="n">
        <f aca="false">SUMIFS(Transactions!$E$4:$E$400,Transactions!$C$4:$C$400,$A7,Transactions!$F$4:$F$400,11)</f>
        <v>0</v>
      </c>
      <c r="D7" s="33" t="n">
        <f aca="false">C7-B7</f>
        <v>0</v>
      </c>
    </row>
    <row r="8" customFormat="false" ht="15" hidden="false" customHeight="false" outlineLevel="0" collapsed="false">
      <c r="A8" s="31" t="s">
        <v>64</v>
      </c>
      <c r="B8" s="32" t="n">
        <v>0</v>
      </c>
      <c r="C8" s="33" t="n">
        <f aca="false">SUMIFS(Transactions!$E$4:$E$400,Transactions!$C$4:$C$400,$A8,Transactions!$F$4:$F$400,11)</f>
        <v>0</v>
      </c>
      <c r="D8" s="33" t="n">
        <f aca="false">C8-B8</f>
        <v>0</v>
      </c>
    </row>
    <row r="9" customFormat="false" ht="15" hidden="false" customHeight="false" outlineLevel="0" collapsed="false">
      <c r="A9" s="31" t="s">
        <v>65</v>
      </c>
      <c r="B9" s="32" t="n">
        <v>0</v>
      </c>
      <c r="C9" s="33" t="n">
        <f aca="false">SUMIFS(Transactions!$E$4:$E$400,Transactions!$C$4:$C$400,$A9,Transactions!$F$4:$F$400,11)</f>
        <v>0</v>
      </c>
      <c r="D9" s="33" t="n">
        <f aca="false">C9-B9</f>
        <v>0</v>
      </c>
    </row>
    <row r="10" customFormat="false" ht="15" hidden="false" customHeight="false" outlineLevel="0" collapsed="false">
      <c r="A10" s="31" t="s">
        <v>66</v>
      </c>
      <c r="B10" s="32" t="n">
        <v>0</v>
      </c>
      <c r="C10" s="33" t="n">
        <f aca="false">SUMIFS(Transactions!$E$4:$E$400,Transactions!$C$4:$C$400,$A10,Transactions!$F$4:$F$400,11)</f>
        <v>0</v>
      </c>
      <c r="D10" s="33" t="n">
        <f aca="false">C10-B10</f>
        <v>0</v>
      </c>
    </row>
    <row r="11" customFormat="false" ht="15" hidden="false" customHeight="false" outlineLevel="0" collapsed="false">
      <c r="A11" s="31" t="s">
        <v>67</v>
      </c>
      <c r="B11" s="32" t="n">
        <v>0</v>
      </c>
      <c r="C11" s="33" t="n">
        <f aca="false">SUMIFS(Transactions!$E$4:$E$400,Transactions!$C$4:$C$400,$A11,Transactions!$F$4:$F$400,11)</f>
        <v>0</v>
      </c>
      <c r="D11" s="33" t="n">
        <f aca="false">C11-B11</f>
        <v>0</v>
      </c>
    </row>
    <row r="12" customFormat="false" ht="15" hidden="false" customHeight="false" outlineLevel="0" collapsed="false">
      <c r="A12" s="34" t="s">
        <v>68</v>
      </c>
      <c r="B12" s="35" t="n">
        <f aca="false">SUM(B6:B11)</f>
        <v>0</v>
      </c>
      <c r="C12" s="35" t="n">
        <f aca="false">SUM(C6:C11)</f>
        <v>0</v>
      </c>
      <c r="D12" s="35" t="n">
        <f aca="false">SUM(D6:D11)</f>
        <v>0</v>
      </c>
    </row>
    <row r="14" customFormat="false" ht="18.75" hidden="false" customHeight="true" outlineLevel="0" collapsed="false">
      <c r="A14" s="36" t="s">
        <v>69</v>
      </c>
      <c r="B14" s="36"/>
      <c r="C14" s="36"/>
      <c r="D14" s="36"/>
    </row>
    <row r="15" customFormat="false" ht="15" hidden="false" customHeight="false" outlineLevel="0" collapsed="false">
      <c r="A15" s="37" t="s">
        <v>36</v>
      </c>
      <c r="B15" s="32" t="n">
        <v>0</v>
      </c>
      <c r="C15" s="38" t="n">
        <f aca="false">SUMIFS(Transactions!$E$4:$E$400,Transactions!$C$4:$C$400,$A15,Transactions!$F$4:$F$400,11)</f>
        <v>0</v>
      </c>
      <c r="D15" s="38" t="n">
        <f aca="false">C15-B15</f>
        <v>0</v>
      </c>
    </row>
    <row r="16" customFormat="false" ht="15" hidden="false" customHeight="false" outlineLevel="0" collapsed="false">
      <c r="A16" s="37" t="s">
        <v>37</v>
      </c>
      <c r="B16" s="32" t="n">
        <v>0</v>
      </c>
      <c r="C16" s="38" t="n">
        <f aca="false">SUMIFS(Transactions!$E$4:$E$400,Transactions!$C$4:$C$400,$A16,Transactions!$F$4:$F$400,11)</f>
        <v>0</v>
      </c>
      <c r="D16" s="38" t="n">
        <f aca="false">C16-B16</f>
        <v>0</v>
      </c>
    </row>
    <row r="17" customFormat="false" ht="15" hidden="false" customHeight="false" outlineLevel="0" collapsed="false">
      <c r="A17" s="37" t="s">
        <v>38</v>
      </c>
      <c r="B17" s="32" t="n">
        <v>0</v>
      </c>
      <c r="C17" s="38" t="n">
        <f aca="false">SUMIFS(Transactions!$E$4:$E$400,Transactions!$C$4:$C$400,$A17,Transactions!$F$4:$F$400,11)</f>
        <v>0</v>
      </c>
      <c r="D17" s="38" t="n">
        <f aca="false">C17-B17</f>
        <v>0</v>
      </c>
    </row>
    <row r="18" customFormat="false" ht="15" hidden="false" customHeight="false" outlineLevel="0" collapsed="false">
      <c r="A18" s="37" t="s">
        <v>39</v>
      </c>
      <c r="B18" s="32" t="n">
        <v>0</v>
      </c>
      <c r="C18" s="38" t="n">
        <f aca="false">SUMIFS(Transactions!$E$4:$E$400,Transactions!$C$4:$C$400,$A18,Transactions!$F$4:$F$400,11)</f>
        <v>0</v>
      </c>
      <c r="D18" s="38" t="n">
        <f aca="false">C18-B18</f>
        <v>0</v>
      </c>
    </row>
    <row r="19" customFormat="false" ht="15" hidden="false" customHeight="false" outlineLevel="0" collapsed="false">
      <c r="A19" s="37" t="s">
        <v>40</v>
      </c>
      <c r="B19" s="32" t="n">
        <v>0</v>
      </c>
      <c r="C19" s="38" t="n">
        <f aca="false">SUMIFS(Transactions!$E$4:$E$400,Transactions!$C$4:$C$400,$A19,Transactions!$F$4:$F$400,11)</f>
        <v>0</v>
      </c>
      <c r="D19" s="38" t="n">
        <f aca="false">C19-B19</f>
        <v>0</v>
      </c>
    </row>
    <row r="20" customFormat="false" ht="15" hidden="false" customHeight="false" outlineLevel="0" collapsed="false">
      <c r="A20" s="37" t="s">
        <v>41</v>
      </c>
      <c r="B20" s="32" t="n">
        <v>0</v>
      </c>
      <c r="C20" s="38" t="n">
        <f aca="false">SUMIFS(Transactions!$E$4:$E$400,Transactions!$C$4:$C$400,$A20,Transactions!$F$4:$F$400,11)</f>
        <v>0</v>
      </c>
      <c r="D20" s="38" t="n">
        <f aca="false">C20-B20</f>
        <v>0</v>
      </c>
    </row>
    <row r="21" customFormat="false" ht="15" hidden="false" customHeight="false" outlineLevel="0" collapsed="false">
      <c r="A21" s="37" t="s">
        <v>42</v>
      </c>
      <c r="B21" s="32" t="n">
        <v>0</v>
      </c>
      <c r="C21" s="38" t="n">
        <f aca="false">SUMIFS(Transactions!$E$4:$E$400,Transactions!$C$4:$C$400,$A21,Transactions!$F$4:$F$400,11)</f>
        <v>0</v>
      </c>
      <c r="D21" s="38" t="n">
        <f aca="false">C21-B21</f>
        <v>0</v>
      </c>
    </row>
    <row r="22" customFormat="false" ht="15" hidden="false" customHeight="false" outlineLevel="0" collapsed="false">
      <c r="A22" s="37" t="s">
        <v>43</v>
      </c>
      <c r="B22" s="32" t="n">
        <v>0</v>
      </c>
      <c r="C22" s="38" t="n">
        <f aca="false">SUMIFS(Transactions!$E$4:$E$400,Transactions!$C$4:$C$400,$A22,Transactions!$F$4:$F$400,11)</f>
        <v>0</v>
      </c>
      <c r="D22" s="38" t="n">
        <f aca="false">C22-B22</f>
        <v>0</v>
      </c>
    </row>
    <row r="23" customFormat="false" ht="15" hidden="false" customHeight="false" outlineLevel="0" collapsed="false">
      <c r="A23" s="34" t="s">
        <v>70</v>
      </c>
      <c r="B23" s="35" t="n">
        <f aca="false">SUM(B15:B22)</f>
        <v>0</v>
      </c>
      <c r="C23" s="35" t="n">
        <f aca="false">SUM(C15:C22)</f>
        <v>0</v>
      </c>
      <c r="D23" s="35" t="n">
        <f aca="false">SUM(D15:D22)</f>
        <v>0</v>
      </c>
    </row>
    <row r="25" customFormat="false" ht="18.75" hidden="false" customHeight="true" outlineLevel="0" collapsed="false">
      <c r="A25" s="39" t="s">
        <v>71</v>
      </c>
      <c r="B25" s="39"/>
      <c r="C25" s="39"/>
      <c r="D25" s="39"/>
    </row>
    <row r="26" customFormat="false" ht="15" hidden="false" customHeight="false" outlineLevel="0" collapsed="false">
      <c r="A26" s="40" t="s">
        <v>44</v>
      </c>
      <c r="B26" s="32" t="n">
        <v>0</v>
      </c>
      <c r="C26" s="41" t="n">
        <f aca="false">SUMIFS(Transactions!$E$4:$E$400,Transactions!$C$4:$C$400,$A26,Transactions!$F$4:$F$400,11)</f>
        <v>0</v>
      </c>
      <c r="D26" s="41" t="n">
        <f aca="false">C26-B26</f>
        <v>0</v>
      </c>
    </row>
    <row r="27" customFormat="false" ht="15" hidden="false" customHeight="false" outlineLevel="0" collapsed="false">
      <c r="A27" s="40" t="s">
        <v>45</v>
      </c>
      <c r="B27" s="32" t="n">
        <v>0</v>
      </c>
      <c r="C27" s="41" t="n">
        <f aca="false">SUMIFS(Transactions!$E$4:$E$400,Transactions!$C$4:$C$400,$A27,Transactions!$F$4:$F$400,11)</f>
        <v>0</v>
      </c>
      <c r="D27" s="41" t="n">
        <f aca="false">C27-B27</f>
        <v>0</v>
      </c>
    </row>
    <row r="28" customFormat="false" ht="15" hidden="false" customHeight="false" outlineLevel="0" collapsed="false">
      <c r="A28" s="40" t="s">
        <v>46</v>
      </c>
      <c r="B28" s="32" t="n">
        <v>0</v>
      </c>
      <c r="C28" s="41" t="n">
        <f aca="false">SUMIFS(Transactions!$E$4:$E$400,Transactions!$C$4:$C$400,$A28,Transactions!$F$4:$F$400,11)</f>
        <v>0</v>
      </c>
      <c r="D28" s="41" t="n">
        <f aca="false">C28-B28</f>
        <v>0</v>
      </c>
    </row>
    <row r="29" customFormat="false" ht="15" hidden="false" customHeight="false" outlineLevel="0" collapsed="false">
      <c r="A29" s="40" t="s">
        <v>47</v>
      </c>
      <c r="B29" s="32" t="n">
        <v>0</v>
      </c>
      <c r="C29" s="41" t="n">
        <f aca="false">SUMIFS(Transactions!$E$4:$E$400,Transactions!$C$4:$C$400,$A29,Transactions!$F$4:$F$400,11)</f>
        <v>0</v>
      </c>
      <c r="D29" s="41" t="n">
        <f aca="false">C29-B29</f>
        <v>0</v>
      </c>
    </row>
    <row r="30" customFormat="false" ht="15" hidden="false" customHeight="false" outlineLevel="0" collapsed="false">
      <c r="A30" s="40" t="s">
        <v>48</v>
      </c>
      <c r="B30" s="32" t="n">
        <v>0</v>
      </c>
      <c r="C30" s="41" t="n">
        <f aca="false">SUMIFS(Transactions!$E$4:$E$400,Transactions!$C$4:$C$400,$A30,Transactions!$F$4:$F$400,11)</f>
        <v>0</v>
      </c>
      <c r="D30" s="41" t="n">
        <f aca="false">C30-B30</f>
        <v>0</v>
      </c>
    </row>
    <row r="31" customFormat="false" ht="15" hidden="false" customHeight="false" outlineLevel="0" collapsed="false">
      <c r="A31" s="40" t="s">
        <v>49</v>
      </c>
      <c r="B31" s="32" t="n">
        <v>0</v>
      </c>
      <c r="C31" s="41" t="n">
        <f aca="false">SUMIFS(Transactions!$E$4:$E$400,Transactions!$C$4:$C$400,$A31,Transactions!$F$4:$F$400,11)</f>
        <v>0</v>
      </c>
      <c r="D31" s="41" t="n">
        <f aca="false">C31-B31</f>
        <v>0</v>
      </c>
    </row>
    <row r="32" customFormat="false" ht="15" hidden="false" customHeight="false" outlineLevel="0" collapsed="false">
      <c r="A32" s="40" t="s">
        <v>50</v>
      </c>
      <c r="B32" s="32" t="n">
        <v>0</v>
      </c>
      <c r="C32" s="41" t="n">
        <f aca="false">SUMIFS(Transactions!$E$4:$E$400,Transactions!$C$4:$C$400,$A32,Transactions!$F$4:$F$400,11)</f>
        <v>0</v>
      </c>
      <c r="D32" s="41" t="n">
        <f aca="false">C32-B32</f>
        <v>0</v>
      </c>
    </row>
    <row r="33" customFormat="false" ht="15" hidden="false" customHeight="false" outlineLevel="0" collapsed="false">
      <c r="A33" s="40" t="s">
        <v>51</v>
      </c>
      <c r="B33" s="32" t="n">
        <v>0</v>
      </c>
      <c r="C33" s="41" t="n">
        <f aca="false">SUMIFS(Transactions!$E$4:$E$400,Transactions!$C$4:$C$400,$A33,Transactions!$F$4:$F$400,11)</f>
        <v>0</v>
      </c>
      <c r="D33" s="41" t="n">
        <f aca="false">C33-B33</f>
        <v>0</v>
      </c>
    </row>
    <row r="34" customFormat="false" ht="15" hidden="false" customHeight="false" outlineLevel="0" collapsed="false">
      <c r="A34" s="40" t="s">
        <v>52</v>
      </c>
      <c r="B34" s="32" t="n">
        <v>0</v>
      </c>
      <c r="C34" s="41" t="n">
        <f aca="false">SUMIFS(Transactions!$E$4:$E$400,Transactions!$C$4:$C$400,$A34,Transactions!$F$4:$F$400,11)</f>
        <v>0</v>
      </c>
      <c r="D34" s="41" t="n">
        <f aca="false">C34-B34</f>
        <v>0</v>
      </c>
    </row>
    <row r="35" customFormat="false" ht="15" hidden="false" customHeight="false" outlineLevel="0" collapsed="false">
      <c r="A35" s="40" t="s">
        <v>53</v>
      </c>
      <c r="B35" s="32" t="n">
        <v>0</v>
      </c>
      <c r="C35" s="41" t="n">
        <f aca="false">SUMIFS(Transactions!$E$4:$E$400,Transactions!$C$4:$C$400,$A35,Transactions!$F$4:$F$400,11)</f>
        <v>0</v>
      </c>
      <c r="D35" s="41" t="n">
        <f aca="false">C35-B35</f>
        <v>0</v>
      </c>
    </row>
    <row r="36" customFormat="false" ht="15" hidden="false" customHeight="false" outlineLevel="0" collapsed="false">
      <c r="A36" s="40" t="s">
        <v>54</v>
      </c>
      <c r="B36" s="32" t="n">
        <v>0</v>
      </c>
      <c r="C36" s="41" t="n">
        <f aca="false">SUMIFS(Transactions!$E$4:$E$400,Transactions!$C$4:$C$400,$A36,Transactions!$F$4:$F$400,11)</f>
        <v>0</v>
      </c>
      <c r="D36" s="41" t="n">
        <f aca="false">C36-B36</f>
        <v>0</v>
      </c>
    </row>
    <row r="37" customFormat="false" ht="15" hidden="false" customHeight="false" outlineLevel="0" collapsed="false">
      <c r="A37" s="40" t="s">
        <v>55</v>
      </c>
      <c r="B37" s="32" t="n">
        <v>0</v>
      </c>
      <c r="C37" s="41" t="n">
        <f aca="false">SUMIFS(Transactions!$E$4:$E$400,Transactions!$C$4:$C$400,$A37,Transactions!$F$4:$F$400,11)</f>
        <v>0</v>
      </c>
      <c r="D37" s="41" t="n">
        <f aca="false">C37-B37</f>
        <v>0</v>
      </c>
    </row>
    <row r="38" customFormat="false" ht="15" hidden="false" customHeight="false" outlineLevel="0" collapsed="false">
      <c r="A38" s="34" t="s">
        <v>72</v>
      </c>
      <c r="B38" s="35" t="n">
        <f aca="false">SUM(B26:B37)</f>
        <v>0</v>
      </c>
      <c r="C38" s="35" t="n">
        <f aca="false">SUM(C26:C37)</f>
        <v>0</v>
      </c>
      <c r="D38" s="35" t="n">
        <f aca="false">SUM(D26:D37)</f>
        <v>0</v>
      </c>
    </row>
    <row r="40" customFormat="false" ht="18.75" hidden="false" customHeight="true" outlineLevel="0" collapsed="false">
      <c r="A40" s="42" t="s">
        <v>73</v>
      </c>
      <c r="B40" s="42"/>
      <c r="C40" s="42"/>
      <c r="D40" s="42"/>
    </row>
    <row r="41" customFormat="false" ht="15" hidden="false" customHeight="false" outlineLevel="0" collapsed="false">
      <c r="A41" s="43" t="s">
        <v>74</v>
      </c>
      <c r="B41" s="32" t="n">
        <v>0</v>
      </c>
      <c r="C41" s="44" t="n">
        <f aca="false">SUMIFS(Transactions!$E$4:$E$400,Transactions!$C$4:$C$400,$A41,Transactions!$F$4:$F$400,11)</f>
        <v>0</v>
      </c>
      <c r="D41" s="44" t="n">
        <f aca="false">C41-B41</f>
        <v>0</v>
      </c>
    </row>
    <row r="42" customFormat="false" ht="15" hidden="false" customHeight="false" outlineLevel="0" collapsed="false">
      <c r="A42" s="43" t="s">
        <v>75</v>
      </c>
      <c r="B42" s="32" t="n">
        <v>0</v>
      </c>
      <c r="C42" s="44" t="n">
        <f aca="false">SUMIFS(Transactions!$E$4:$E$400,Transactions!$C$4:$C$400,$A42,Transactions!$F$4:$F$400,11)</f>
        <v>0</v>
      </c>
      <c r="D42" s="44" t="n">
        <f aca="false">C42-B42</f>
        <v>0</v>
      </c>
    </row>
    <row r="43" customFormat="false" ht="15" hidden="false" customHeight="false" outlineLevel="0" collapsed="false">
      <c r="A43" s="43" t="s">
        <v>76</v>
      </c>
      <c r="B43" s="32" t="n">
        <v>0</v>
      </c>
      <c r="C43" s="44" t="n">
        <f aca="false">SUMIFS(Transactions!$E$4:$E$400,Transactions!$C$4:$C$400,$A43,Transactions!$F$4:$F$400,11)</f>
        <v>0</v>
      </c>
      <c r="D43" s="44" t="n">
        <f aca="false">C43-B43</f>
        <v>0</v>
      </c>
    </row>
    <row r="44" customFormat="false" ht="15" hidden="false" customHeight="false" outlineLevel="0" collapsed="false">
      <c r="A44" s="43" t="s">
        <v>77</v>
      </c>
      <c r="B44" s="32" t="n">
        <v>0</v>
      </c>
      <c r="C44" s="44" t="n">
        <f aca="false">SUMIFS(Transactions!$E$4:$E$400,Transactions!$C$4:$C$400,$A44,Transactions!$F$4:$F$400,11)</f>
        <v>0</v>
      </c>
      <c r="D44" s="44" t="n">
        <f aca="false">C44-B44</f>
        <v>0</v>
      </c>
    </row>
    <row r="45" customFormat="false" ht="15" hidden="false" customHeight="false" outlineLevel="0" collapsed="false">
      <c r="A45" s="43" t="s">
        <v>78</v>
      </c>
      <c r="B45" s="32" t="n">
        <v>0</v>
      </c>
      <c r="C45" s="44" t="n">
        <f aca="false">SUMIFS(Transactions!$E$4:$E$400,Transactions!$C$4:$C$400,$A45,Transactions!$F$4:$F$400,11)</f>
        <v>0</v>
      </c>
      <c r="D45" s="44" t="n">
        <f aca="false">C45-B45</f>
        <v>0</v>
      </c>
    </row>
    <row r="46" customFormat="false" ht="15" hidden="false" customHeight="false" outlineLevel="0" collapsed="false">
      <c r="A46" s="43" t="s">
        <v>79</v>
      </c>
      <c r="B46" s="32" t="n">
        <v>0</v>
      </c>
      <c r="C46" s="44" t="n">
        <f aca="false">SUMIFS(Transactions!$E$4:$E$400,Transactions!$C$4:$C$400,$A46,Transactions!$F$4:$F$400,11)</f>
        <v>0</v>
      </c>
      <c r="D46" s="44" t="n">
        <f aca="false">C46-B46</f>
        <v>0</v>
      </c>
    </row>
    <row r="47" customFormat="false" ht="15" hidden="false" customHeight="false" outlineLevel="0" collapsed="false">
      <c r="A47" s="34" t="s">
        <v>80</v>
      </c>
      <c r="B47" s="35" t="n">
        <f aca="false">SUM(B41:B46)</f>
        <v>0</v>
      </c>
      <c r="C47" s="35" t="n">
        <f aca="false">SUM(C41:C46)</f>
        <v>0</v>
      </c>
      <c r="D47" s="35" t="n">
        <f aca="false">SUM(D41:D46)</f>
        <v>0</v>
      </c>
    </row>
    <row r="49" customFormat="false" ht="18.75" hidden="false" customHeight="true" outlineLevel="0" collapsed="false">
      <c r="A49" s="45" t="s">
        <v>81</v>
      </c>
      <c r="B49" s="45"/>
      <c r="C49" s="45"/>
      <c r="D49" s="45"/>
    </row>
    <row r="50" customFormat="false" ht="15" hidden="false" customHeight="false" outlineLevel="0" collapsed="false">
      <c r="A50" s="46" t="s">
        <v>68</v>
      </c>
      <c r="B50" s="47" t="n">
        <f aca="false">B12</f>
        <v>0</v>
      </c>
      <c r="C50" s="47" t="n">
        <f aca="false">C12</f>
        <v>0</v>
      </c>
      <c r="D50" s="47" t="n">
        <f aca="false">C50-B50</f>
        <v>0</v>
      </c>
    </row>
    <row r="51" customFormat="false" ht="15" hidden="false" customHeight="false" outlineLevel="0" collapsed="false">
      <c r="A51" s="46" t="s">
        <v>82</v>
      </c>
      <c r="B51" s="47" t="n">
        <f aca="false">B23+B38</f>
        <v>0</v>
      </c>
      <c r="C51" s="47" t="n">
        <f aca="false">C23+C38</f>
        <v>0</v>
      </c>
      <c r="D51" s="47" t="n">
        <f aca="false">C51-B51</f>
        <v>0</v>
      </c>
    </row>
    <row r="52" customFormat="false" ht="15" hidden="false" customHeight="false" outlineLevel="0" collapsed="false">
      <c r="A52" s="46" t="s">
        <v>83</v>
      </c>
      <c r="B52" s="47" t="n">
        <f aca="false">B47</f>
        <v>0</v>
      </c>
      <c r="C52" s="47" t="n">
        <f aca="false">C47</f>
        <v>0</v>
      </c>
      <c r="D52" s="47" t="n">
        <f aca="false">C52-B52</f>
        <v>0</v>
      </c>
    </row>
    <row r="53" customFormat="false" ht="15" hidden="false" customHeight="false" outlineLevel="0" collapsed="false">
      <c r="A53" s="48" t="s">
        <v>84</v>
      </c>
      <c r="B53" s="49" t="n">
        <f aca="false">B50-B51-B52</f>
        <v>0</v>
      </c>
      <c r="C53" s="49" t="n">
        <f aca="false">C50-C51-C52</f>
        <v>0</v>
      </c>
      <c r="D53" s="49" t="n">
        <f aca="false">C53-B53</f>
        <v>0</v>
      </c>
    </row>
  </sheetData>
  <mergeCells count="7">
    <mergeCell ref="A1:D1"/>
    <mergeCell ref="A2:D2"/>
    <mergeCell ref="A5:D5"/>
    <mergeCell ref="A14:D14"/>
    <mergeCell ref="A25:D25"/>
    <mergeCell ref="A40:D40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3"/>
  </cols>
  <sheetData>
    <row r="1" customFormat="false" ht="30" hidden="false" customHeight="true" outlineLevel="0" collapsed="false">
      <c r="A1" s="27" t="str">
        <f aca="false">"DECEMBER"&amp;" "&amp;Welcome!$B$7&amp;" BUDGET"</f>
        <v>DECEMBER 2026 BUDGET</v>
      </c>
      <c r="B1" s="27"/>
      <c r="C1" s="27"/>
      <c r="D1" s="27"/>
    </row>
    <row r="2" customFormat="false" ht="15" hidden="false" customHeight="false" outlineLevel="0" collapsed="false">
      <c r="A2" s="28" t="s">
        <v>56</v>
      </c>
      <c r="B2" s="28"/>
      <c r="C2" s="28"/>
      <c r="D2" s="28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60</v>
      </c>
    </row>
    <row r="5" customFormat="false" ht="18.75" hidden="false" customHeight="true" outlineLevel="0" collapsed="false">
      <c r="A5" s="30" t="s">
        <v>61</v>
      </c>
      <c r="B5" s="30"/>
      <c r="C5" s="30"/>
      <c r="D5" s="30"/>
    </row>
    <row r="6" customFormat="false" ht="15" hidden="false" customHeight="false" outlineLevel="0" collapsed="false">
      <c r="A6" s="31" t="s">
        <v>62</v>
      </c>
      <c r="B6" s="32" t="n">
        <v>0</v>
      </c>
      <c r="C6" s="33" t="n">
        <f aca="false">SUMIFS(Transactions!$E$4:$E$400,Transactions!$C$4:$C$400,$A6,Transactions!$F$4:$F$400,12)</f>
        <v>0</v>
      </c>
      <c r="D6" s="33" t="n">
        <f aca="false">C6-B6</f>
        <v>0</v>
      </c>
    </row>
    <row r="7" customFormat="false" ht="15" hidden="false" customHeight="false" outlineLevel="0" collapsed="false">
      <c r="A7" s="31" t="s">
        <v>63</v>
      </c>
      <c r="B7" s="32" t="n">
        <v>0</v>
      </c>
      <c r="C7" s="33" t="n">
        <f aca="false">SUMIFS(Transactions!$E$4:$E$400,Transactions!$C$4:$C$400,$A7,Transactions!$F$4:$F$400,12)</f>
        <v>0</v>
      </c>
      <c r="D7" s="33" t="n">
        <f aca="false">C7-B7</f>
        <v>0</v>
      </c>
    </row>
    <row r="8" customFormat="false" ht="15" hidden="false" customHeight="false" outlineLevel="0" collapsed="false">
      <c r="A8" s="31" t="s">
        <v>64</v>
      </c>
      <c r="B8" s="32" t="n">
        <v>0</v>
      </c>
      <c r="C8" s="33" t="n">
        <f aca="false">SUMIFS(Transactions!$E$4:$E$400,Transactions!$C$4:$C$400,$A8,Transactions!$F$4:$F$400,12)</f>
        <v>0</v>
      </c>
      <c r="D8" s="33" t="n">
        <f aca="false">C8-B8</f>
        <v>0</v>
      </c>
    </row>
    <row r="9" customFormat="false" ht="15" hidden="false" customHeight="false" outlineLevel="0" collapsed="false">
      <c r="A9" s="31" t="s">
        <v>65</v>
      </c>
      <c r="B9" s="32" t="n">
        <v>0</v>
      </c>
      <c r="C9" s="33" t="n">
        <f aca="false">SUMIFS(Transactions!$E$4:$E$400,Transactions!$C$4:$C$400,$A9,Transactions!$F$4:$F$400,12)</f>
        <v>0</v>
      </c>
      <c r="D9" s="33" t="n">
        <f aca="false">C9-B9</f>
        <v>0</v>
      </c>
    </row>
    <row r="10" customFormat="false" ht="15" hidden="false" customHeight="false" outlineLevel="0" collapsed="false">
      <c r="A10" s="31" t="s">
        <v>66</v>
      </c>
      <c r="B10" s="32" t="n">
        <v>0</v>
      </c>
      <c r="C10" s="33" t="n">
        <f aca="false">SUMIFS(Transactions!$E$4:$E$400,Transactions!$C$4:$C$400,$A10,Transactions!$F$4:$F$400,12)</f>
        <v>0</v>
      </c>
      <c r="D10" s="33" t="n">
        <f aca="false">C10-B10</f>
        <v>0</v>
      </c>
    </row>
    <row r="11" customFormat="false" ht="15" hidden="false" customHeight="false" outlineLevel="0" collapsed="false">
      <c r="A11" s="31" t="s">
        <v>67</v>
      </c>
      <c r="B11" s="32" t="n">
        <v>0</v>
      </c>
      <c r="C11" s="33" t="n">
        <f aca="false">SUMIFS(Transactions!$E$4:$E$400,Transactions!$C$4:$C$400,$A11,Transactions!$F$4:$F$400,12)</f>
        <v>0</v>
      </c>
      <c r="D11" s="33" t="n">
        <f aca="false">C11-B11</f>
        <v>0</v>
      </c>
    </row>
    <row r="12" customFormat="false" ht="15" hidden="false" customHeight="false" outlineLevel="0" collapsed="false">
      <c r="A12" s="34" t="s">
        <v>68</v>
      </c>
      <c r="B12" s="35" t="n">
        <f aca="false">SUM(B6:B11)</f>
        <v>0</v>
      </c>
      <c r="C12" s="35" t="n">
        <f aca="false">SUM(C6:C11)</f>
        <v>0</v>
      </c>
      <c r="D12" s="35" t="n">
        <f aca="false">SUM(D6:D11)</f>
        <v>0</v>
      </c>
    </row>
    <row r="14" customFormat="false" ht="18.75" hidden="false" customHeight="true" outlineLevel="0" collapsed="false">
      <c r="A14" s="36" t="s">
        <v>69</v>
      </c>
      <c r="B14" s="36"/>
      <c r="C14" s="36"/>
      <c r="D14" s="36"/>
    </row>
    <row r="15" customFormat="false" ht="15" hidden="false" customHeight="false" outlineLevel="0" collapsed="false">
      <c r="A15" s="37" t="s">
        <v>36</v>
      </c>
      <c r="B15" s="32" t="n">
        <v>0</v>
      </c>
      <c r="C15" s="38" t="n">
        <f aca="false">SUMIFS(Transactions!$E$4:$E$400,Transactions!$C$4:$C$400,$A15,Transactions!$F$4:$F$400,12)</f>
        <v>0</v>
      </c>
      <c r="D15" s="38" t="n">
        <f aca="false">C15-B15</f>
        <v>0</v>
      </c>
    </row>
    <row r="16" customFormat="false" ht="15" hidden="false" customHeight="false" outlineLevel="0" collapsed="false">
      <c r="A16" s="37" t="s">
        <v>37</v>
      </c>
      <c r="B16" s="32" t="n">
        <v>0</v>
      </c>
      <c r="C16" s="38" t="n">
        <f aca="false">SUMIFS(Transactions!$E$4:$E$400,Transactions!$C$4:$C$400,$A16,Transactions!$F$4:$F$400,12)</f>
        <v>0</v>
      </c>
      <c r="D16" s="38" t="n">
        <f aca="false">C16-B16</f>
        <v>0</v>
      </c>
    </row>
    <row r="17" customFormat="false" ht="15" hidden="false" customHeight="false" outlineLevel="0" collapsed="false">
      <c r="A17" s="37" t="s">
        <v>38</v>
      </c>
      <c r="B17" s="32" t="n">
        <v>0</v>
      </c>
      <c r="C17" s="38" t="n">
        <f aca="false">SUMIFS(Transactions!$E$4:$E$400,Transactions!$C$4:$C$400,$A17,Transactions!$F$4:$F$400,12)</f>
        <v>0</v>
      </c>
      <c r="D17" s="38" t="n">
        <f aca="false">C17-B17</f>
        <v>0</v>
      </c>
    </row>
    <row r="18" customFormat="false" ht="15" hidden="false" customHeight="false" outlineLevel="0" collapsed="false">
      <c r="A18" s="37" t="s">
        <v>39</v>
      </c>
      <c r="B18" s="32" t="n">
        <v>0</v>
      </c>
      <c r="C18" s="38" t="n">
        <f aca="false">SUMIFS(Transactions!$E$4:$E$400,Transactions!$C$4:$C$400,$A18,Transactions!$F$4:$F$400,12)</f>
        <v>0</v>
      </c>
      <c r="D18" s="38" t="n">
        <f aca="false">C18-B18</f>
        <v>0</v>
      </c>
    </row>
    <row r="19" customFormat="false" ht="15" hidden="false" customHeight="false" outlineLevel="0" collapsed="false">
      <c r="A19" s="37" t="s">
        <v>40</v>
      </c>
      <c r="B19" s="32" t="n">
        <v>0</v>
      </c>
      <c r="C19" s="38" t="n">
        <f aca="false">SUMIFS(Transactions!$E$4:$E$400,Transactions!$C$4:$C$400,$A19,Transactions!$F$4:$F$400,12)</f>
        <v>0</v>
      </c>
      <c r="D19" s="38" t="n">
        <f aca="false">C19-B19</f>
        <v>0</v>
      </c>
    </row>
    <row r="20" customFormat="false" ht="15" hidden="false" customHeight="false" outlineLevel="0" collapsed="false">
      <c r="A20" s="37" t="s">
        <v>41</v>
      </c>
      <c r="B20" s="32" t="n">
        <v>0</v>
      </c>
      <c r="C20" s="38" t="n">
        <f aca="false">SUMIFS(Transactions!$E$4:$E$400,Transactions!$C$4:$C$400,$A20,Transactions!$F$4:$F$400,12)</f>
        <v>0</v>
      </c>
      <c r="D20" s="38" t="n">
        <f aca="false">C20-B20</f>
        <v>0</v>
      </c>
    </row>
    <row r="21" customFormat="false" ht="15" hidden="false" customHeight="false" outlineLevel="0" collapsed="false">
      <c r="A21" s="37" t="s">
        <v>42</v>
      </c>
      <c r="B21" s="32" t="n">
        <v>0</v>
      </c>
      <c r="C21" s="38" t="n">
        <f aca="false">SUMIFS(Transactions!$E$4:$E$400,Transactions!$C$4:$C$400,$A21,Transactions!$F$4:$F$400,12)</f>
        <v>0</v>
      </c>
      <c r="D21" s="38" t="n">
        <f aca="false">C21-B21</f>
        <v>0</v>
      </c>
    </row>
    <row r="22" customFormat="false" ht="15" hidden="false" customHeight="false" outlineLevel="0" collapsed="false">
      <c r="A22" s="37" t="s">
        <v>43</v>
      </c>
      <c r="B22" s="32" t="n">
        <v>0</v>
      </c>
      <c r="C22" s="38" t="n">
        <f aca="false">SUMIFS(Transactions!$E$4:$E$400,Transactions!$C$4:$C$400,$A22,Transactions!$F$4:$F$400,12)</f>
        <v>0</v>
      </c>
      <c r="D22" s="38" t="n">
        <f aca="false">C22-B22</f>
        <v>0</v>
      </c>
    </row>
    <row r="23" customFormat="false" ht="15" hidden="false" customHeight="false" outlineLevel="0" collapsed="false">
      <c r="A23" s="34" t="s">
        <v>70</v>
      </c>
      <c r="B23" s="35" t="n">
        <f aca="false">SUM(B15:B22)</f>
        <v>0</v>
      </c>
      <c r="C23" s="35" t="n">
        <f aca="false">SUM(C15:C22)</f>
        <v>0</v>
      </c>
      <c r="D23" s="35" t="n">
        <f aca="false">SUM(D15:D22)</f>
        <v>0</v>
      </c>
    </row>
    <row r="25" customFormat="false" ht="18.75" hidden="false" customHeight="true" outlineLevel="0" collapsed="false">
      <c r="A25" s="39" t="s">
        <v>71</v>
      </c>
      <c r="B25" s="39"/>
      <c r="C25" s="39"/>
      <c r="D25" s="39"/>
    </row>
    <row r="26" customFormat="false" ht="15" hidden="false" customHeight="false" outlineLevel="0" collapsed="false">
      <c r="A26" s="40" t="s">
        <v>44</v>
      </c>
      <c r="B26" s="32" t="n">
        <v>0</v>
      </c>
      <c r="C26" s="41" t="n">
        <f aca="false">SUMIFS(Transactions!$E$4:$E$400,Transactions!$C$4:$C$400,$A26,Transactions!$F$4:$F$400,12)</f>
        <v>0</v>
      </c>
      <c r="D26" s="41" t="n">
        <f aca="false">C26-B26</f>
        <v>0</v>
      </c>
    </row>
    <row r="27" customFormat="false" ht="15" hidden="false" customHeight="false" outlineLevel="0" collapsed="false">
      <c r="A27" s="40" t="s">
        <v>45</v>
      </c>
      <c r="B27" s="32" t="n">
        <v>0</v>
      </c>
      <c r="C27" s="41" t="n">
        <f aca="false">SUMIFS(Transactions!$E$4:$E$400,Transactions!$C$4:$C$400,$A27,Transactions!$F$4:$F$400,12)</f>
        <v>0</v>
      </c>
      <c r="D27" s="41" t="n">
        <f aca="false">C27-B27</f>
        <v>0</v>
      </c>
    </row>
    <row r="28" customFormat="false" ht="15" hidden="false" customHeight="false" outlineLevel="0" collapsed="false">
      <c r="A28" s="40" t="s">
        <v>46</v>
      </c>
      <c r="B28" s="32" t="n">
        <v>0</v>
      </c>
      <c r="C28" s="41" t="n">
        <f aca="false">SUMIFS(Transactions!$E$4:$E$400,Transactions!$C$4:$C$400,$A28,Transactions!$F$4:$F$400,12)</f>
        <v>0</v>
      </c>
      <c r="D28" s="41" t="n">
        <f aca="false">C28-B28</f>
        <v>0</v>
      </c>
    </row>
    <row r="29" customFormat="false" ht="15" hidden="false" customHeight="false" outlineLevel="0" collapsed="false">
      <c r="A29" s="40" t="s">
        <v>47</v>
      </c>
      <c r="B29" s="32" t="n">
        <v>0</v>
      </c>
      <c r="C29" s="41" t="n">
        <f aca="false">SUMIFS(Transactions!$E$4:$E$400,Transactions!$C$4:$C$400,$A29,Transactions!$F$4:$F$400,12)</f>
        <v>0</v>
      </c>
      <c r="D29" s="41" t="n">
        <f aca="false">C29-B29</f>
        <v>0</v>
      </c>
    </row>
    <row r="30" customFormat="false" ht="15" hidden="false" customHeight="false" outlineLevel="0" collapsed="false">
      <c r="A30" s="40" t="s">
        <v>48</v>
      </c>
      <c r="B30" s="32" t="n">
        <v>0</v>
      </c>
      <c r="C30" s="41" t="n">
        <f aca="false">SUMIFS(Transactions!$E$4:$E$400,Transactions!$C$4:$C$400,$A30,Transactions!$F$4:$F$400,12)</f>
        <v>0</v>
      </c>
      <c r="D30" s="41" t="n">
        <f aca="false">C30-B30</f>
        <v>0</v>
      </c>
    </row>
    <row r="31" customFormat="false" ht="15" hidden="false" customHeight="false" outlineLevel="0" collapsed="false">
      <c r="A31" s="40" t="s">
        <v>49</v>
      </c>
      <c r="B31" s="32" t="n">
        <v>0</v>
      </c>
      <c r="C31" s="41" t="n">
        <f aca="false">SUMIFS(Transactions!$E$4:$E$400,Transactions!$C$4:$C$400,$A31,Transactions!$F$4:$F$400,12)</f>
        <v>0</v>
      </c>
      <c r="D31" s="41" t="n">
        <f aca="false">C31-B31</f>
        <v>0</v>
      </c>
    </row>
    <row r="32" customFormat="false" ht="15" hidden="false" customHeight="false" outlineLevel="0" collapsed="false">
      <c r="A32" s="40" t="s">
        <v>50</v>
      </c>
      <c r="B32" s="32" t="n">
        <v>0</v>
      </c>
      <c r="C32" s="41" t="n">
        <f aca="false">SUMIFS(Transactions!$E$4:$E$400,Transactions!$C$4:$C$400,$A32,Transactions!$F$4:$F$400,12)</f>
        <v>0</v>
      </c>
      <c r="D32" s="41" t="n">
        <f aca="false">C32-B32</f>
        <v>0</v>
      </c>
    </row>
    <row r="33" customFormat="false" ht="15" hidden="false" customHeight="false" outlineLevel="0" collapsed="false">
      <c r="A33" s="40" t="s">
        <v>51</v>
      </c>
      <c r="B33" s="32" t="n">
        <v>0</v>
      </c>
      <c r="C33" s="41" t="n">
        <f aca="false">SUMIFS(Transactions!$E$4:$E$400,Transactions!$C$4:$C$400,$A33,Transactions!$F$4:$F$400,12)</f>
        <v>0</v>
      </c>
      <c r="D33" s="41" t="n">
        <f aca="false">C33-B33</f>
        <v>0</v>
      </c>
    </row>
    <row r="34" customFormat="false" ht="15" hidden="false" customHeight="false" outlineLevel="0" collapsed="false">
      <c r="A34" s="40" t="s">
        <v>52</v>
      </c>
      <c r="B34" s="32" t="n">
        <v>0</v>
      </c>
      <c r="C34" s="41" t="n">
        <f aca="false">SUMIFS(Transactions!$E$4:$E$400,Transactions!$C$4:$C$400,$A34,Transactions!$F$4:$F$400,12)</f>
        <v>0</v>
      </c>
      <c r="D34" s="41" t="n">
        <f aca="false">C34-B34</f>
        <v>0</v>
      </c>
    </row>
    <row r="35" customFormat="false" ht="15" hidden="false" customHeight="false" outlineLevel="0" collapsed="false">
      <c r="A35" s="40" t="s">
        <v>53</v>
      </c>
      <c r="B35" s="32" t="n">
        <v>0</v>
      </c>
      <c r="C35" s="41" t="n">
        <f aca="false">SUMIFS(Transactions!$E$4:$E$400,Transactions!$C$4:$C$400,$A35,Transactions!$F$4:$F$400,12)</f>
        <v>0</v>
      </c>
      <c r="D35" s="41" t="n">
        <f aca="false">C35-B35</f>
        <v>0</v>
      </c>
    </row>
    <row r="36" customFormat="false" ht="15" hidden="false" customHeight="false" outlineLevel="0" collapsed="false">
      <c r="A36" s="40" t="s">
        <v>54</v>
      </c>
      <c r="B36" s="32" t="n">
        <v>0</v>
      </c>
      <c r="C36" s="41" t="n">
        <f aca="false">SUMIFS(Transactions!$E$4:$E$400,Transactions!$C$4:$C$400,$A36,Transactions!$F$4:$F$400,12)</f>
        <v>0</v>
      </c>
      <c r="D36" s="41" t="n">
        <f aca="false">C36-B36</f>
        <v>0</v>
      </c>
    </row>
    <row r="37" customFormat="false" ht="15" hidden="false" customHeight="false" outlineLevel="0" collapsed="false">
      <c r="A37" s="40" t="s">
        <v>55</v>
      </c>
      <c r="B37" s="32" t="n">
        <v>0</v>
      </c>
      <c r="C37" s="41" t="n">
        <f aca="false">SUMIFS(Transactions!$E$4:$E$400,Transactions!$C$4:$C$400,$A37,Transactions!$F$4:$F$400,12)</f>
        <v>0</v>
      </c>
      <c r="D37" s="41" t="n">
        <f aca="false">C37-B37</f>
        <v>0</v>
      </c>
    </row>
    <row r="38" customFormat="false" ht="15" hidden="false" customHeight="false" outlineLevel="0" collapsed="false">
      <c r="A38" s="34" t="s">
        <v>72</v>
      </c>
      <c r="B38" s="35" t="n">
        <f aca="false">SUM(B26:B37)</f>
        <v>0</v>
      </c>
      <c r="C38" s="35" t="n">
        <f aca="false">SUM(C26:C37)</f>
        <v>0</v>
      </c>
      <c r="D38" s="35" t="n">
        <f aca="false">SUM(D26:D37)</f>
        <v>0</v>
      </c>
    </row>
    <row r="40" customFormat="false" ht="18.75" hidden="false" customHeight="true" outlineLevel="0" collapsed="false">
      <c r="A40" s="42" t="s">
        <v>73</v>
      </c>
      <c r="B40" s="42"/>
      <c r="C40" s="42"/>
      <c r="D40" s="42"/>
    </row>
    <row r="41" customFormat="false" ht="15" hidden="false" customHeight="false" outlineLevel="0" collapsed="false">
      <c r="A41" s="43" t="s">
        <v>74</v>
      </c>
      <c r="B41" s="32" t="n">
        <v>0</v>
      </c>
      <c r="C41" s="44" t="n">
        <f aca="false">SUMIFS(Transactions!$E$4:$E$400,Transactions!$C$4:$C$400,$A41,Transactions!$F$4:$F$400,12)</f>
        <v>0</v>
      </c>
      <c r="D41" s="44" t="n">
        <f aca="false">C41-B41</f>
        <v>0</v>
      </c>
    </row>
    <row r="42" customFormat="false" ht="15" hidden="false" customHeight="false" outlineLevel="0" collapsed="false">
      <c r="A42" s="43" t="s">
        <v>75</v>
      </c>
      <c r="B42" s="32" t="n">
        <v>0</v>
      </c>
      <c r="C42" s="44" t="n">
        <f aca="false">SUMIFS(Transactions!$E$4:$E$400,Transactions!$C$4:$C$400,$A42,Transactions!$F$4:$F$400,12)</f>
        <v>0</v>
      </c>
      <c r="D42" s="44" t="n">
        <f aca="false">C42-B42</f>
        <v>0</v>
      </c>
    </row>
    <row r="43" customFormat="false" ht="15" hidden="false" customHeight="false" outlineLevel="0" collapsed="false">
      <c r="A43" s="43" t="s">
        <v>76</v>
      </c>
      <c r="B43" s="32" t="n">
        <v>0</v>
      </c>
      <c r="C43" s="44" t="n">
        <f aca="false">SUMIFS(Transactions!$E$4:$E$400,Transactions!$C$4:$C$400,$A43,Transactions!$F$4:$F$400,12)</f>
        <v>0</v>
      </c>
      <c r="D43" s="44" t="n">
        <f aca="false">C43-B43</f>
        <v>0</v>
      </c>
    </row>
    <row r="44" customFormat="false" ht="15" hidden="false" customHeight="false" outlineLevel="0" collapsed="false">
      <c r="A44" s="43" t="s">
        <v>77</v>
      </c>
      <c r="B44" s="32" t="n">
        <v>0</v>
      </c>
      <c r="C44" s="44" t="n">
        <f aca="false">SUMIFS(Transactions!$E$4:$E$400,Transactions!$C$4:$C$400,$A44,Transactions!$F$4:$F$400,12)</f>
        <v>0</v>
      </c>
      <c r="D44" s="44" t="n">
        <f aca="false">C44-B44</f>
        <v>0</v>
      </c>
    </row>
    <row r="45" customFormat="false" ht="15" hidden="false" customHeight="false" outlineLevel="0" collapsed="false">
      <c r="A45" s="43" t="s">
        <v>78</v>
      </c>
      <c r="B45" s="32" t="n">
        <v>0</v>
      </c>
      <c r="C45" s="44" t="n">
        <f aca="false">SUMIFS(Transactions!$E$4:$E$400,Transactions!$C$4:$C$400,$A45,Transactions!$F$4:$F$400,12)</f>
        <v>0</v>
      </c>
      <c r="D45" s="44" t="n">
        <f aca="false">C45-B45</f>
        <v>0</v>
      </c>
    </row>
    <row r="46" customFormat="false" ht="15" hidden="false" customHeight="false" outlineLevel="0" collapsed="false">
      <c r="A46" s="43" t="s">
        <v>79</v>
      </c>
      <c r="B46" s="32" t="n">
        <v>0</v>
      </c>
      <c r="C46" s="44" t="n">
        <f aca="false">SUMIFS(Transactions!$E$4:$E$400,Transactions!$C$4:$C$400,$A46,Transactions!$F$4:$F$400,12)</f>
        <v>0</v>
      </c>
      <c r="D46" s="44" t="n">
        <f aca="false">C46-B46</f>
        <v>0</v>
      </c>
    </row>
    <row r="47" customFormat="false" ht="15" hidden="false" customHeight="false" outlineLevel="0" collapsed="false">
      <c r="A47" s="34" t="s">
        <v>80</v>
      </c>
      <c r="B47" s="35" t="n">
        <f aca="false">SUM(B41:B46)</f>
        <v>0</v>
      </c>
      <c r="C47" s="35" t="n">
        <f aca="false">SUM(C41:C46)</f>
        <v>0</v>
      </c>
      <c r="D47" s="35" t="n">
        <f aca="false">SUM(D41:D46)</f>
        <v>0</v>
      </c>
    </row>
    <row r="49" customFormat="false" ht="18.75" hidden="false" customHeight="true" outlineLevel="0" collapsed="false">
      <c r="A49" s="45" t="s">
        <v>81</v>
      </c>
      <c r="B49" s="45"/>
      <c r="C49" s="45"/>
      <c r="D49" s="45"/>
    </row>
    <row r="50" customFormat="false" ht="15" hidden="false" customHeight="false" outlineLevel="0" collapsed="false">
      <c r="A50" s="46" t="s">
        <v>68</v>
      </c>
      <c r="B50" s="47" t="n">
        <f aca="false">B12</f>
        <v>0</v>
      </c>
      <c r="C50" s="47" t="n">
        <f aca="false">C12</f>
        <v>0</v>
      </c>
      <c r="D50" s="47" t="n">
        <f aca="false">C50-B50</f>
        <v>0</v>
      </c>
    </row>
    <row r="51" customFormat="false" ht="15" hidden="false" customHeight="false" outlineLevel="0" collapsed="false">
      <c r="A51" s="46" t="s">
        <v>82</v>
      </c>
      <c r="B51" s="47" t="n">
        <f aca="false">B23+B38</f>
        <v>0</v>
      </c>
      <c r="C51" s="47" t="n">
        <f aca="false">C23+C38</f>
        <v>0</v>
      </c>
      <c r="D51" s="47" t="n">
        <f aca="false">C51-B51</f>
        <v>0</v>
      </c>
    </row>
    <row r="52" customFormat="false" ht="15" hidden="false" customHeight="false" outlineLevel="0" collapsed="false">
      <c r="A52" s="46" t="s">
        <v>83</v>
      </c>
      <c r="B52" s="47" t="n">
        <f aca="false">B47</f>
        <v>0</v>
      </c>
      <c r="C52" s="47" t="n">
        <f aca="false">C47</f>
        <v>0</v>
      </c>
      <c r="D52" s="47" t="n">
        <f aca="false">C52-B52</f>
        <v>0</v>
      </c>
    </row>
    <row r="53" customFormat="false" ht="15" hidden="false" customHeight="false" outlineLevel="0" collapsed="false">
      <c r="A53" s="48" t="s">
        <v>84</v>
      </c>
      <c r="B53" s="49" t="n">
        <f aca="false">B50-B51-B52</f>
        <v>0</v>
      </c>
      <c r="C53" s="49" t="n">
        <f aca="false">C50-C51-C52</f>
        <v>0</v>
      </c>
      <c r="D53" s="49" t="n">
        <f aca="false">C53-B53</f>
        <v>0</v>
      </c>
    </row>
  </sheetData>
  <mergeCells count="7">
    <mergeCell ref="A1:D1"/>
    <mergeCell ref="A2:D2"/>
    <mergeCell ref="A5:D5"/>
    <mergeCell ref="A14:D14"/>
    <mergeCell ref="A25:D25"/>
    <mergeCell ref="A40:D40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3A3A"/>
    <pageSetUpPr fitToPage="true"/>
  </sheetPr>
  <dimension ref="A1:P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9.5"/>
    <col collapsed="false" customWidth="true" hidden="false" outlineLevel="0" max="16" min="14" style="0" width="12"/>
  </cols>
  <sheetData>
    <row r="1" customFormat="false" ht="30" hidden="false" customHeight="true" outlineLevel="0" collapsed="false">
      <c r="A1" s="50" t="s">
        <v>85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customFormat="false" ht="15" hidden="false" customHeight="false" outlineLevel="0" collapsed="false">
      <c r="A2" s="28" t="s">
        <v>86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4" customFormat="false" ht="27.75" hidden="false" customHeight="true" outlineLevel="0" collapsed="false">
      <c r="A4" s="51" t="s">
        <v>57</v>
      </c>
      <c r="B4" s="51" t="s">
        <v>87</v>
      </c>
      <c r="C4" s="51" t="s">
        <v>88</v>
      </c>
      <c r="D4" s="51" t="s">
        <v>89</v>
      </c>
      <c r="E4" s="51" t="s">
        <v>90</v>
      </c>
      <c r="F4" s="51" t="s">
        <v>91</v>
      </c>
      <c r="G4" s="51" t="s">
        <v>92</v>
      </c>
      <c r="H4" s="51" t="s">
        <v>93</v>
      </c>
      <c r="I4" s="51" t="s">
        <v>94</v>
      </c>
      <c r="J4" s="51" t="s">
        <v>95</v>
      </c>
      <c r="K4" s="51" t="s">
        <v>96</v>
      </c>
      <c r="L4" s="51" t="s">
        <v>97</v>
      </c>
      <c r="M4" s="51" t="s">
        <v>98</v>
      </c>
      <c r="N4" s="51" t="s">
        <v>99</v>
      </c>
      <c r="O4" s="51" t="s">
        <v>100</v>
      </c>
      <c r="P4" s="51" t="s">
        <v>60</v>
      </c>
    </row>
    <row r="5" customFormat="false" ht="18" hidden="false" customHeight="true" outlineLevel="0" collapsed="false">
      <c r="A5" s="52" t="s">
        <v>61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</row>
    <row r="6" customFormat="false" ht="15" hidden="false" customHeight="false" outlineLevel="0" collapsed="false">
      <c r="A6" s="53" t="s">
        <v>62</v>
      </c>
      <c r="B6" s="54" t="n">
        <f aca="false">Jan!C6</f>
        <v>6400</v>
      </c>
      <c r="C6" s="54" t="n">
        <f aca="false">Feb!C6</f>
        <v>0</v>
      </c>
      <c r="D6" s="54" t="n">
        <f aca="false">Mar!C6</f>
        <v>0</v>
      </c>
      <c r="E6" s="54" t="n">
        <f aca="false">Apr!C6</f>
        <v>0</v>
      </c>
      <c r="F6" s="54" t="n">
        <f aca="false">May!C6</f>
        <v>0</v>
      </c>
      <c r="G6" s="54" t="n">
        <f aca="false">Jun!C6</f>
        <v>0</v>
      </c>
      <c r="H6" s="54" t="n">
        <f aca="false">Jul!C6</f>
        <v>0</v>
      </c>
      <c r="I6" s="54" t="n">
        <f aca="false">Aug!C6</f>
        <v>0</v>
      </c>
      <c r="J6" s="54" t="n">
        <f aca="false">Sep!C6</f>
        <v>0</v>
      </c>
      <c r="K6" s="54" t="n">
        <f aca="false">Oct!C6</f>
        <v>0</v>
      </c>
      <c r="L6" s="54" t="n">
        <f aca="false">Nov!C6</f>
        <v>0</v>
      </c>
      <c r="M6" s="54" t="n">
        <f aca="false">Dec!C6</f>
        <v>0</v>
      </c>
      <c r="N6" s="55" t="n">
        <f aca="false">SUM(B6:M6)</f>
        <v>6400</v>
      </c>
      <c r="O6" s="55" t="n">
        <f aca="false">Jan!B6+Feb!B6+Mar!B6+Apr!B6+May!B6+Jun!B6+Jul!B6+Aug!B6+Sep!B6+Oct!B6+Nov!B6+Dec!B6</f>
        <v>6400</v>
      </c>
      <c r="P6" s="55" t="n">
        <f aca="false">N6-O6</f>
        <v>0</v>
      </c>
    </row>
    <row r="7" customFormat="false" ht="15" hidden="false" customHeight="false" outlineLevel="0" collapsed="false">
      <c r="A7" s="53" t="s">
        <v>63</v>
      </c>
      <c r="B7" s="54" t="n">
        <f aca="false">Jan!C7</f>
        <v>450</v>
      </c>
      <c r="C7" s="54" t="n">
        <f aca="false">Feb!C7</f>
        <v>0</v>
      </c>
      <c r="D7" s="54" t="n">
        <f aca="false">Mar!C7</f>
        <v>0</v>
      </c>
      <c r="E7" s="54" t="n">
        <f aca="false">Apr!C7</f>
        <v>0</v>
      </c>
      <c r="F7" s="54" t="n">
        <f aca="false">May!C7</f>
        <v>0</v>
      </c>
      <c r="G7" s="54" t="n">
        <f aca="false">Jun!C7</f>
        <v>0</v>
      </c>
      <c r="H7" s="54" t="n">
        <f aca="false">Jul!C7</f>
        <v>0</v>
      </c>
      <c r="I7" s="54" t="n">
        <f aca="false">Aug!C7</f>
        <v>0</v>
      </c>
      <c r="J7" s="54" t="n">
        <f aca="false">Sep!C7</f>
        <v>0</v>
      </c>
      <c r="K7" s="54" t="n">
        <f aca="false">Oct!C7</f>
        <v>0</v>
      </c>
      <c r="L7" s="54" t="n">
        <f aca="false">Nov!C7</f>
        <v>0</v>
      </c>
      <c r="M7" s="54" t="n">
        <f aca="false">Dec!C7</f>
        <v>0</v>
      </c>
      <c r="N7" s="55" t="n">
        <f aca="false">SUM(B7:M7)</f>
        <v>450</v>
      </c>
      <c r="O7" s="55" t="n">
        <f aca="false">Jan!B7+Feb!B7+Mar!B7+Apr!B7+May!B7+Jun!B7+Jul!B7+Aug!B7+Sep!B7+Oct!B7+Nov!B7+Dec!B7</f>
        <v>400</v>
      </c>
      <c r="P7" s="55" t="n">
        <f aca="false">N7-O7</f>
        <v>50</v>
      </c>
    </row>
    <row r="8" customFormat="false" ht="15" hidden="false" customHeight="false" outlineLevel="0" collapsed="false">
      <c r="A8" s="53" t="s">
        <v>64</v>
      </c>
      <c r="B8" s="54" t="n">
        <f aca="false">Jan!C8</f>
        <v>0</v>
      </c>
      <c r="C8" s="54" t="n">
        <f aca="false">Feb!C8</f>
        <v>0</v>
      </c>
      <c r="D8" s="54" t="n">
        <f aca="false">Mar!C8</f>
        <v>0</v>
      </c>
      <c r="E8" s="54" t="n">
        <f aca="false">Apr!C8</f>
        <v>0</v>
      </c>
      <c r="F8" s="54" t="n">
        <f aca="false">May!C8</f>
        <v>0</v>
      </c>
      <c r="G8" s="54" t="n">
        <f aca="false">Jun!C8</f>
        <v>0</v>
      </c>
      <c r="H8" s="54" t="n">
        <f aca="false">Jul!C8</f>
        <v>0</v>
      </c>
      <c r="I8" s="54" t="n">
        <f aca="false">Aug!C8</f>
        <v>0</v>
      </c>
      <c r="J8" s="54" t="n">
        <f aca="false">Sep!C8</f>
        <v>0</v>
      </c>
      <c r="K8" s="54" t="n">
        <f aca="false">Oct!C8</f>
        <v>0</v>
      </c>
      <c r="L8" s="54" t="n">
        <f aca="false">Nov!C8</f>
        <v>0</v>
      </c>
      <c r="M8" s="54" t="n">
        <f aca="false">Dec!C8</f>
        <v>0</v>
      </c>
      <c r="N8" s="55" t="n">
        <f aca="false">SUM(B8:M8)</f>
        <v>0</v>
      </c>
      <c r="O8" s="55" t="n">
        <f aca="false">Jan!B8+Feb!B8+Mar!B8+Apr!B8+May!B8+Jun!B8+Jul!B8+Aug!B8+Sep!B8+Oct!B8+Nov!B8+Dec!B8</f>
        <v>0</v>
      </c>
      <c r="P8" s="55" t="n">
        <f aca="false">N8-O8</f>
        <v>0</v>
      </c>
    </row>
    <row r="9" customFormat="false" ht="15" hidden="false" customHeight="false" outlineLevel="0" collapsed="false">
      <c r="A9" s="53" t="s">
        <v>65</v>
      </c>
      <c r="B9" s="54" t="n">
        <f aca="false">Jan!C9</f>
        <v>0</v>
      </c>
      <c r="C9" s="54" t="n">
        <f aca="false">Feb!C9</f>
        <v>0</v>
      </c>
      <c r="D9" s="54" t="n">
        <f aca="false">Mar!C9</f>
        <v>0</v>
      </c>
      <c r="E9" s="54" t="n">
        <f aca="false">Apr!C9</f>
        <v>0</v>
      </c>
      <c r="F9" s="54" t="n">
        <f aca="false">May!C9</f>
        <v>0</v>
      </c>
      <c r="G9" s="54" t="n">
        <f aca="false">Jun!C9</f>
        <v>0</v>
      </c>
      <c r="H9" s="54" t="n">
        <f aca="false">Jul!C9</f>
        <v>0</v>
      </c>
      <c r="I9" s="54" t="n">
        <f aca="false">Aug!C9</f>
        <v>0</v>
      </c>
      <c r="J9" s="54" t="n">
        <f aca="false">Sep!C9</f>
        <v>0</v>
      </c>
      <c r="K9" s="54" t="n">
        <f aca="false">Oct!C9</f>
        <v>0</v>
      </c>
      <c r="L9" s="54" t="n">
        <f aca="false">Nov!C9</f>
        <v>0</v>
      </c>
      <c r="M9" s="54" t="n">
        <f aca="false">Dec!C9</f>
        <v>0</v>
      </c>
      <c r="N9" s="55" t="n">
        <f aca="false">SUM(B9:M9)</f>
        <v>0</v>
      </c>
      <c r="O9" s="55" t="n">
        <f aca="false">Jan!B9+Feb!B9+Mar!B9+Apr!B9+May!B9+Jun!B9+Jul!B9+Aug!B9+Sep!B9+Oct!B9+Nov!B9+Dec!B9</f>
        <v>0</v>
      </c>
      <c r="P9" s="55" t="n">
        <f aca="false">N9-O9</f>
        <v>0</v>
      </c>
    </row>
    <row r="10" customFormat="false" ht="15" hidden="false" customHeight="false" outlineLevel="0" collapsed="false">
      <c r="A10" s="53" t="s">
        <v>66</v>
      </c>
      <c r="B10" s="54" t="n">
        <f aca="false">Jan!C10</f>
        <v>0</v>
      </c>
      <c r="C10" s="54" t="n">
        <f aca="false">Feb!C10</f>
        <v>0</v>
      </c>
      <c r="D10" s="54" t="n">
        <f aca="false">Mar!C10</f>
        <v>0</v>
      </c>
      <c r="E10" s="54" t="n">
        <f aca="false">Apr!C10</f>
        <v>0</v>
      </c>
      <c r="F10" s="54" t="n">
        <f aca="false">May!C10</f>
        <v>0</v>
      </c>
      <c r="G10" s="54" t="n">
        <f aca="false">Jun!C10</f>
        <v>0</v>
      </c>
      <c r="H10" s="54" t="n">
        <f aca="false">Jul!C10</f>
        <v>0</v>
      </c>
      <c r="I10" s="54" t="n">
        <f aca="false">Aug!C10</f>
        <v>0</v>
      </c>
      <c r="J10" s="54" t="n">
        <f aca="false">Sep!C10</f>
        <v>0</v>
      </c>
      <c r="K10" s="54" t="n">
        <f aca="false">Oct!C10</f>
        <v>0</v>
      </c>
      <c r="L10" s="54" t="n">
        <f aca="false">Nov!C10</f>
        <v>0</v>
      </c>
      <c r="M10" s="54" t="n">
        <f aca="false">Dec!C10</f>
        <v>0</v>
      </c>
      <c r="N10" s="55" t="n">
        <f aca="false">SUM(B10:M10)</f>
        <v>0</v>
      </c>
      <c r="O10" s="55" t="n">
        <f aca="false">Jan!B10+Feb!B10+Mar!B10+Apr!B10+May!B10+Jun!B10+Jul!B10+Aug!B10+Sep!B10+Oct!B10+Nov!B10+Dec!B10</f>
        <v>0</v>
      </c>
      <c r="P10" s="55" t="n">
        <f aca="false">N10-O10</f>
        <v>0</v>
      </c>
    </row>
    <row r="11" customFormat="false" ht="15" hidden="false" customHeight="false" outlineLevel="0" collapsed="false">
      <c r="A11" s="53" t="s">
        <v>67</v>
      </c>
      <c r="B11" s="54" t="n">
        <f aca="false">Jan!C11</f>
        <v>0</v>
      </c>
      <c r="C11" s="54" t="n">
        <f aca="false">Feb!C11</f>
        <v>0</v>
      </c>
      <c r="D11" s="54" t="n">
        <f aca="false">Mar!C11</f>
        <v>0</v>
      </c>
      <c r="E11" s="54" t="n">
        <f aca="false">Apr!C11</f>
        <v>0</v>
      </c>
      <c r="F11" s="54" t="n">
        <f aca="false">May!C11</f>
        <v>0</v>
      </c>
      <c r="G11" s="54" t="n">
        <f aca="false">Jun!C11</f>
        <v>0</v>
      </c>
      <c r="H11" s="54" t="n">
        <f aca="false">Jul!C11</f>
        <v>0</v>
      </c>
      <c r="I11" s="54" t="n">
        <f aca="false">Aug!C11</f>
        <v>0</v>
      </c>
      <c r="J11" s="54" t="n">
        <f aca="false">Sep!C11</f>
        <v>0</v>
      </c>
      <c r="K11" s="54" t="n">
        <f aca="false">Oct!C11</f>
        <v>0</v>
      </c>
      <c r="L11" s="54" t="n">
        <f aca="false">Nov!C11</f>
        <v>0</v>
      </c>
      <c r="M11" s="54" t="n">
        <f aca="false">Dec!C11</f>
        <v>0</v>
      </c>
      <c r="N11" s="55" t="n">
        <f aca="false">SUM(B11:M11)</f>
        <v>0</v>
      </c>
      <c r="O11" s="55" t="n">
        <f aca="false">Jan!B11+Feb!B11+Mar!B11+Apr!B11+May!B11+Jun!B11+Jul!B11+Aug!B11+Sep!B11+Oct!B11+Nov!B11+Dec!B11</f>
        <v>0</v>
      </c>
      <c r="P11" s="55" t="n">
        <f aca="false">N11-O11</f>
        <v>0</v>
      </c>
    </row>
    <row r="12" customFormat="false" ht="15" hidden="false" customHeight="false" outlineLevel="0" collapsed="false">
      <c r="A12" s="56" t="s">
        <v>68</v>
      </c>
      <c r="B12" s="57" t="n">
        <f aca="false">SUM(B6:B11)</f>
        <v>6850</v>
      </c>
      <c r="C12" s="57" t="n">
        <f aca="false">SUM(C6:C11)</f>
        <v>0</v>
      </c>
      <c r="D12" s="57" t="n">
        <f aca="false">SUM(D6:D11)</f>
        <v>0</v>
      </c>
      <c r="E12" s="57" t="n">
        <f aca="false">SUM(E6:E11)</f>
        <v>0</v>
      </c>
      <c r="F12" s="57" t="n">
        <f aca="false">SUM(F6:F11)</f>
        <v>0</v>
      </c>
      <c r="G12" s="57" t="n">
        <f aca="false">SUM(G6:G11)</f>
        <v>0</v>
      </c>
      <c r="H12" s="57" t="n">
        <f aca="false">SUM(H6:H11)</f>
        <v>0</v>
      </c>
      <c r="I12" s="57" t="n">
        <f aca="false">SUM(I6:I11)</f>
        <v>0</v>
      </c>
      <c r="J12" s="57" t="n">
        <f aca="false">SUM(J6:J11)</f>
        <v>0</v>
      </c>
      <c r="K12" s="57" t="n">
        <f aca="false">SUM(K6:K11)</f>
        <v>0</v>
      </c>
      <c r="L12" s="57" t="n">
        <f aca="false">SUM(L6:L11)</f>
        <v>0</v>
      </c>
      <c r="M12" s="57" t="n">
        <f aca="false">SUM(M6:M11)</f>
        <v>0</v>
      </c>
      <c r="N12" s="57" t="n">
        <f aca="false">SUM(N6:N11)</f>
        <v>6850</v>
      </c>
      <c r="O12" s="57" t="n">
        <f aca="false">SUM(O6:O11)</f>
        <v>6800</v>
      </c>
      <c r="P12" s="57" t="n">
        <f aca="false">SUM(P6:P11)</f>
        <v>50</v>
      </c>
    </row>
    <row r="14" customFormat="false" ht="18" hidden="false" customHeight="true" outlineLevel="0" collapsed="false">
      <c r="A14" s="58" t="s">
        <v>69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</row>
    <row r="15" customFormat="false" ht="15" hidden="false" customHeight="false" outlineLevel="0" collapsed="false">
      <c r="A15" s="59" t="s">
        <v>36</v>
      </c>
      <c r="B15" s="54" t="n">
        <f aca="false">Jan!C15</f>
        <v>1450</v>
      </c>
      <c r="C15" s="54" t="n">
        <f aca="false">Feb!C15</f>
        <v>0</v>
      </c>
      <c r="D15" s="54" t="n">
        <f aca="false">Mar!C15</f>
        <v>0</v>
      </c>
      <c r="E15" s="54" t="n">
        <f aca="false">Apr!C15</f>
        <v>0</v>
      </c>
      <c r="F15" s="54" t="n">
        <f aca="false">May!C15</f>
        <v>0</v>
      </c>
      <c r="G15" s="54" t="n">
        <f aca="false">Jun!C15</f>
        <v>0</v>
      </c>
      <c r="H15" s="54" t="n">
        <f aca="false">Jul!C15</f>
        <v>0</v>
      </c>
      <c r="I15" s="54" t="n">
        <f aca="false">Aug!C15</f>
        <v>0</v>
      </c>
      <c r="J15" s="54" t="n">
        <f aca="false">Sep!C15</f>
        <v>0</v>
      </c>
      <c r="K15" s="54" t="n">
        <f aca="false">Oct!C15</f>
        <v>0</v>
      </c>
      <c r="L15" s="54" t="n">
        <f aca="false">Nov!C15</f>
        <v>0</v>
      </c>
      <c r="M15" s="54" t="n">
        <f aca="false">Dec!C15</f>
        <v>0</v>
      </c>
      <c r="N15" s="55" t="n">
        <f aca="false">SUM(B15:M15)</f>
        <v>1450</v>
      </c>
      <c r="O15" s="55" t="n">
        <f aca="false">Jan!B15+Feb!B15+Mar!B15+Apr!B15+May!B15+Jun!B15+Jul!B15+Aug!B15+Sep!B15+Oct!B15+Nov!B15+Dec!B15</f>
        <v>1450</v>
      </c>
      <c r="P15" s="55" t="n">
        <f aca="false">N15-O15</f>
        <v>0</v>
      </c>
    </row>
    <row r="16" customFormat="false" ht="15" hidden="false" customHeight="false" outlineLevel="0" collapsed="false">
      <c r="A16" s="59" t="s">
        <v>37</v>
      </c>
      <c r="B16" s="54" t="n">
        <f aca="false">Jan!C16</f>
        <v>165.32</v>
      </c>
      <c r="C16" s="54" t="n">
        <f aca="false">Feb!C16</f>
        <v>0</v>
      </c>
      <c r="D16" s="54" t="n">
        <f aca="false">Mar!C16</f>
        <v>0</v>
      </c>
      <c r="E16" s="54" t="n">
        <f aca="false">Apr!C16</f>
        <v>0</v>
      </c>
      <c r="F16" s="54" t="n">
        <f aca="false">May!C16</f>
        <v>0</v>
      </c>
      <c r="G16" s="54" t="n">
        <f aca="false">Jun!C16</f>
        <v>0</v>
      </c>
      <c r="H16" s="54" t="n">
        <f aca="false">Jul!C16</f>
        <v>0</v>
      </c>
      <c r="I16" s="54" t="n">
        <f aca="false">Aug!C16</f>
        <v>0</v>
      </c>
      <c r="J16" s="54" t="n">
        <f aca="false">Sep!C16</f>
        <v>0</v>
      </c>
      <c r="K16" s="54" t="n">
        <f aca="false">Oct!C16</f>
        <v>0</v>
      </c>
      <c r="L16" s="54" t="n">
        <f aca="false">Nov!C16</f>
        <v>0</v>
      </c>
      <c r="M16" s="54" t="n">
        <f aca="false">Dec!C16</f>
        <v>0</v>
      </c>
      <c r="N16" s="55" t="n">
        <f aca="false">SUM(B16:M16)</f>
        <v>165.32</v>
      </c>
      <c r="O16" s="55" t="n">
        <f aca="false">Jan!B16+Feb!B16+Mar!B16+Apr!B16+May!B16+Jun!B16+Jul!B16+Aug!B16+Sep!B16+Oct!B16+Nov!B16+Dec!B16</f>
        <v>180</v>
      </c>
      <c r="P16" s="55" t="n">
        <f aca="false">N16-O16</f>
        <v>-14.68</v>
      </c>
    </row>
    <row r="17" customFormat="false" ht="15" hidden="false" customHeight="false" outlineLevel="0" collapsed="false">
      <c r="A17" s="59" t="s">
        <v>38</v>
      </c>
      <c r="B17" s="54" t="n">
        <f aca="false">Jan!C17</f>
        <v>0</v>
      </c>
      <c r="C17" s="54" t="n">
        <f aca="false">Feb!C17</f>
        <v>0</v>
      </c>
      <c r="D17" s="54" t="n">
        <f aca="false">Mar!C17</f>
        <v>0</v>
      </c>
      <c r="E17" s="54" t="n">
        <f aca="false">Apr!C17</f>
        <v>0</v>
      </c>
      <c r="F17" s="54" t="n">
        <f aca="false">May!C17</f>
        <v>0</v>
      </c>
      <c r="G17" s="54" t="n">
        <f aca="false">Jun!C17</f>
        <v>0</v>
      </c>
      <c r="H17" s="54" t="n">
        <f aca="false">Jul!C17</f>
        <v>0</v>
      </c>
      <c r="I17" s="54" t="n">
        <f aca="false">Aug!C17</f>
        <v>0</v>
      </c>
      <c r="J17" s="54" t="n">
        <f aca="false">Sep!C17</f>
        <v>0</v>
      </c>
      <c r="K17" s="54" t="n">
        <f aca="false">Oct!C17</f>
        <v>0</v>
      </c>
      <c r="L17" s="54" t="n">
        <f aca="false">Nov!C17</f>
        <v>0</v>
      </c>
      <c r="M17" s="54" t="n">
        <f aca="false">Dec!C17</f>
        <v>0</v>
      </c>
      <c r="N17" s="55" t="n">
        <f aca="false">SUM(B17:M17)</f>
        <v>0</v>
      </c>
      <c r="O17" s="55" t="n">
        <f aca="false">Jan!B17+Feb!B17+Mar!B17+Apr!B17+May!B17+Jun!B17+Jul!B17+Aug!B17+Sep!B17+Oct!B17+Nov!B17+Dec!B17</f>
        <v>120</v>
      </c>
      <c r="P17" s="55" t="n">
        <f aca="false">N17-O17</f>
        <v>-120</v>
      </c>
    </row>
    <row r="18" customFormat="false" ht="15" hidden="false" customHeight="false" outlineLevel="0" collapsed="false">
      <c r="A18" s="59" t="s">
        <v>39</v>
      </c>
      <c r="B18" s="54" t="n">
        <f aca="false">Jan!C18</f>
        <v>0</v>
      </c>
      <c r="C18" s="54" t="n">
        <f aca="false">Feb!C18</f>
        <v>0</v>
      </c>
      <c r="D18" s="54" t="n">
        <f aca="false">Mar!C18</f>
        <v>0</v>
      </c>
      <c r="E18" s="54" t="n">
        <f aca="false">Apr!C18</f>
        <v>0</v>
      </c>
      <c r="F18" s="54" t="n">
        <f aca="false">May!C18</f>
        <v>0</v>
      </c>
      <c r="G18" s="54" t="n">
        <f aca="false">Jun!C18</f>
        <v>0</v>
      </c>
      <c r="H18" s="54" t="n">
        <f aca="false">Jul!C18</f>
        <v>0</v>
      </c>
      <c r="I18" s="54" t="n">
        <f aca="false">Aug!C18</f>
        <v>0</v>
      </c>
      <c r="J18" s="54" t="n">
        <f aca="false">Sep!C18</f>
        <v>0</v>
      </c>
      <c r="K18" s="54" t="n">
        <f aca="false">Oct!C18</f>
        <v>0</v>
      </c>
      <c r="L18" s="54" t="n">
        <f aca="false">Nov!C18</f>
        <v>0</v>
      </c>
      <c r="M18" s="54" t="n">
        <f aca="false">Dec!C18</f>
        <v>0</v>
      </c>
      <c r="N18" s="55" t="n">
        <f aca="false">SUM(B18:M18)</f>
        <v>0</v>
      </c>
      <c r="O18" s="55" t="n">
        <f aca="false">Jan!B18+Feb!B18+Mar!B18+Apr!B18+May!B18+Jun!B18+Jul!B18+Aug!B18+Sep!B18+Oct!B18+Nov!B18+Dec!B18</f>
        <v>65</v>
      </c>
      <c r="P18" s="55" t="n">
        <f aca="false">N18-O18</f>
        <v>-65</v>
      </c>
    </row>
    <row r="19" customFormat="false" ht="15" hidden="false" customHeight="false" outlineLevel="0" collapsed="false">
      <c r="A19" s="59" t="s">
        <v>40</v>
      </c>
      <c r="B19" s="54" t="n">
        <f aca="false">Jan!C19</f>
        <v>0</v>
      </c>
      <c r="C19" s="54" t="n">
        <f aca="false">Feb!C19</f>
        <v>0</v>
      </c>
      <c r="D19" s="54" t="n">
        <f aca="false">Mar!C19</f>
        <v>0</v>
      </c>
      <c r="E19" s="54" t="n">
        <f aca="false">Apr!C19</f>
        <v>0</v>
      </c>
      <c r="F19" s="54" t="n">
        <f aca="false">May!C19</f>
        <v>0</v>
      </c>
      <c r="G19" s="54" t="n">
        <f aca="false">Jun!C19</f>
        <v>0</v>
      </c>
      <c r="H19" s="54" t="n">
        <f aca="false">Jul!C19</f>
        <v>0</v>
      </c>
      <c r="I19" s="54" t="n">
        <f aca="false">Aug!C19</f>
        <v>0</v>
      </c>
      <c r="J19" s="54" t="n">
        <f aca="false">Sep!C19</f>
        <v>0</v>
      </c>
      <c r="K19" s="54" t="n">
        <f aca="false">Oct!C19</f>
        <v>0</v>
      </c>
      <c r="L19" s="54" t="n">
        <f aca="false">Nov!C19</f>
        <v>0</v>
      </c>
      <c r="M19" s="54" t="n">
        <f aca="false">Dec!C19</f>
        <v>0</v>
      </c>
      <c r="N19" s="55" t="n">
        <f aca="false">SUM(B19:M19)</f>
        <v>0</v>
      </c>
      <c r="O19" s="55" t="n">
        <f aca="false">Jan!B19+Feb!B19+Mar!B19+Apr!B19+May!B19+Jun!B19+Jul!B19+Aug!B19+Sep!B19+Oct!B19+Nov!B19+Dec!B19</f>
        <v>60</v>
      </c>
      <c r="P19" s="55" t="n">
        <f aca="false">N19-O19</f>
        <v>-60</v>
      </c>
    </row>
    <row r="20" customFormat="false" ht="15" hidden="false" customHeight="false" outlineLevel="0" collapsed="false">
      <c r="A20" s="59" t="s">
        <v>41</v>
      </c>
      <c r="B20" s="54" t="n">
        <f aca="false">Jan!C20</f>
        <v>24.98</v>
      </c>
      <c r="C20" s="54" t="n">
        <f aca="false">Feb!C20</f>
        <v>0</v>
      </c>
      <c r="D20" s="54" t="n">
        <f aca="false">Mar!C20</f>
        <v>0</v>
      </c>
      <c r="E20" s="54" t="n">
        <f aca="false">Apr!C20</f>
        <v>0</v>
      </c>
      <c r="F20" s="54" t="n">
        <f aca="false">May!C20</f>
        <v>0</v>
      </c>
      <c r="G20" s="54" t="n">
        <f aca="false">Jun!C20</f>
        <v>0</v>
      </c>
      <c r="H20" s="54" t="n">
        <f aca="false">Jul!C20</f>
        <v>0</v>
      </c>
      <c r="I20" s="54" t="n">
        <f aca="false">Aug!C20</f>
        <v>0</v>
      </c>
      <c r="J20" s="54" t="n">
        <f aca="false">Sep!C20</f>
        <v>0</v>
      </c>
      <c r="K20" s="54" t="n">
        <f aca="false">Oct!C20</f>
        <v>0</v>
      </c>
      <c r="L20" s="54" t="n">
        <f aca="false">Nov!C20</f>
        <v>0</v>
      </c>
      <c r="M20" s="54" t="n">
        <f aca="false">Dec!C20</f>
        <v>0</v>
      </c>
      <c r="N20" s="55" t="n">
        <f aca="false">SUM(B20:M20)</f>
        <v>24.98</v>
      </c>
      <c r="O20" s="55" t="n">
        <f aca="false">Jan!B20+Feb!B20+Mar!B20+Apr!B20+May!B20+Jun!B20+Jul!B20+Aug!B20+Sep!B20+Oct!B20+Nov!B20+Dec!B20</f>
        <v>35</v>
      </c>
      <c r="P20" s="55" t="n">
        <f aca="false">N20-O20</f>
        <v>-10.02</v>
      </c>
    </row>
    <row r="21" customFormat="false" ht="15" hidden="false" customHeight="false" outlineLevel="0" collapsed="false">
      <c r="A21" s="59" t="s">
        <v>42</v>
      </c>
      <c r="B21" s="54" t="n">
        <f aca="false">Jan!C21</f>
        <v>0</v>
      </c>
      <c r="C21" s="54" t="n">
        <f aca="false">Feb!C21</f>
        <v>0</v>
      </c>
      <c r="D21" s="54" t="n">
        <f aca="false">Mar!C21</f>
        <v>0</v>
      </c>
      <c r="E21" s="54" t="n">
        <f aca="false">Apr!C21</f>
        <v>0</v>
      </c>
      <c r="F21" s="54" t="n">
        <f aca="false">May!C21</f>
        <v>0</v>
      </c>
      <c r="G21" s="54" t="n">
        <f aca="false">Jun!C21</f>
        <v>0</v>
      </c>
      <c r="H21" s="54" t="n">
        <f aca="false">Jul!C21</f>
        <v>0</v>
      </c>
      <c r="I21" s="54" t="n">
        <f aca="false">Aug!C21</f>
        <v>0</v>
      </c>
      <c r="J21" s="54" t="n">
        <f aca="false">Sep!C21</f>
        <v>0</v>
      </c>
      <c r="K21" s="54" t="n">
        <f aca="false">Oct!C21</f>
        <v>0</v>
      </c>
      <c r="L21" s="54" t="n">
        <f aca="false">Nov!C21</f>
        <v>0</v>
      </c>
      <c r="M21" s="54" t="n">
        <f aca="false">Dec!C21</f>
        <v>0</v>
      </c>
      <c r="N21" s="55" t="n">
        <f aca="false">SUM(B21:M21)</f>
        <v>0</v>
      </c>
      <c r="O21" s="55" t="n">
        <f aca="false">Jan!B21+Feb!B21+Mar!B21+Apr!B21+May!B21+Jun!B21+Jul!B21+Aug!B21+Sep!B21+Oct!B21+Nov!B21+Dec!B21</f>
        <v>320</v>
      </c>
      <c r="P21" s="55" t="n">
        <f aca="false">N21-O21</f>
        <v>-320</v>
      </c>
    </row>
    <row r="22" customFormat="false" ht="15" hidden="false" customHeight="false" outlineLevel="0" collapsed="false">
      <c r="A22" s="59" t="s">
        <v>43</v>
      </c>
      <c r="B22" s="54" t="n">
        <f aca="false">Jan!C22</f>
        <v>0</v>
      </c>
      <c r="C22" s="54" t="n">
        <f aca="false">Feb!C22</f>
        <v>0</v>
      </c>
      <c r="D22" s="54" t="n">
        <f aca="false">Mar!C22</f>
        <v>0</v>
      </c>
      <c r="E22" s="54" t="n">
        <f aca="false">Apr!C22</f>
        <v>0</v>
      </c>
      <c r="F22" s="54" t="n">
        <f aca="false">May!C22</f>
        <v>0</v>
      </c>
      <c r="G22" s="54" t="n">
        <f aca="false">Jun!C22</f>
        <v>0</v>
      </c>
      <c r="H22" s="54" t="n">
        <f aca="false">Jul!C22</f>
        <v>0</v>
      </c>
      <c r="I22" s="54" t="n">
        <f aca="false">Aug!C22</f>
        <v>0</v>
      </c>
      <c r="J22" s="54" t="n">
        <f aca="false">Sep!C22</f>
        <v>0</v>
      </c>
      <c r="K22" s="54" t="n">
        <f aca="false">Oct!C22</f>
        <v>0</v>
      </c>
      <c r="L22" s="54" t="n">
        <f aca="false">Nov!C22</f>
        <v>0</v>
      </c>
      <c r="M22" s="54" t="n">
        <f aca="false">Dec!C22</f>
        <v>0</v>
      </c>
      <c r="N22" s="55" t="n">
        <f aca="false">SUM(B22:M22)</f>
        <v>0</v>
      </c>
      <c r="O22" s="55" t="n">
        <f aca="false">Jan!B22+Feb!B22+Mar!B22+Apr!B22+May!B22+Jun!B22+Jul!B22+Aug!B22+Sep!B22+Oct!B22+Nov!B22+Dec!B22</f>
        <v>150</v>
      </c>
      <c r="P22" s="55" t="n">
        <f aca="false">N22-O22</f>
        <v>-150</v>
      </c>
    </row>
    <row r="23" customFormat="false" ht="15" hidden="false" customHeight="false" outlineLevel="0" collapsed="false">
      <c r="A23" s="56" t="s">
        <v>70</v>
      </c>
      <c r="B23" s="57" t="n">
        <f aca="false">SUM(B15:B22)</f>
        <v>1640.3</v>
      </c>
      <c r="C23" s="57" t="n">
        <f aca="false">SUM(C15:C22)</f>
        <v>0</v>
      </c>
      <c r="D23" s="57" t="n">
        <f aca="false">SUM(D15:D22)</f>
        <v>0</v>
      </c>
      <c r="E23" s="57" t="n">
        <f aca="false">SUM(E15:E22)</f>
        <v>0</v>
      </c>
      <c r="F23" s="57" t="n">
        <f aca="false">SUM(F15:F22)</f>
        <v>0</v>
      </c>
      <c r="G23" s="57" t="n">
        <f aca="false">SUM(G15:G22)</f>
        <v>0</v>
      </c>
      <c r="H23" s="57" t="n">
        <f aca="false">SUM(H15:H22)</f>
        <v>0</v>
      </c>
      <c r="I23" s="57" t="n">
        <f aca="false">SUM(I15:I22)</f>
        <v>0</v>
      </c>
      <c r="J23" s="57" t="n">
        <f aca="false">SUM(J15:J22)</f>
        <v>0</v>
      </c>
      <c r="K23" s="57" t="n">
        <f aca="false">SUM(K15:K22)</f>
        <v>0</v>
      </c>
      <c r="L23" s="57" t="n">
        <f aca="false">SUM(L15:L22)</f>
        <v>0</v>
      </c>
      <c r="M23" s="57" t="n">
        <f aca="false">SUM(M15:M22)</f>
        <v>0</v>
      </c>
      <c r="N23" s="57" t="n">
        <f aca="false">SUM(N15:N22)</f>
        <v>1640.3</v>
      </c>
      <c r="O23" s="57" t="n">
        <f aca="false">SUM(O15:O22)</f>
        <v>2380</v>
      </c>
      <c r="P23" s="57" t="n">
        <f aca="false">SUM(P15:P22)</f>
        <v>-739.7</v>
      </c>
    </row>
    <row r="25" customFormat="false" ht="18" hidden="false" customHeight="true" outlineLevel="0" collapsed="false">
      <c r="A25" s="60" t="s">
        <v>71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</row>
    <row r="26" customFormat="false" ht="15" hidden="false" customHeight="false" outlineLevel="0" collapsed="false">
      <c r="A26" s="61" t="s">
        <v>44</v>
      </c>
      <c r="B26" s="54" t="n">
        <f aca="false">Jan!C26</f>
        <v>211.07</v>
      </c>
      <c r="C26" s="54" t="n">
        <f aca="false">Feb!C26</f>
        <v>0</v>
      </c>
      <c r="D26" s="54" t="n">
        <f aca="false">Mar!C26</f>
        <v>0</v>
      </c>
      <c r="E26" s="54" t="n">
        <f aca="false">Apr!C26</f>
        <v>0</v>
      </c>
      <c r="F26" s="54" t="n">
        <f aca="false">May!C26</f>
        <v>0</v>
      </c>
      <c r="G26" s="54" t="n">
        <f aca="false">Jun!C26</f>
        <v>0</v>
      </c>
      <c r="H26" s="54" t="n">
        <f aca="false">Jul!C26</f>
        <v>0</v>
      </c>
      <c r="I26" s="54" t="n">
        <f aca="false">Aug!C26</f>
        <v>0</v>
      </c>
      <c r="J26" s="54" t="n">
        <f aca="false">Sep!C26</f>
        <v>0</v>
      </c>
      <c r="K26" s="54" t="n">
        <f aca="false">Oct!C26</f>
        <v>0</v>
      </c>
      <c r="L26" s="54" t="n">
        <f aca="false">Nov!C26</f>
        <v>0</v>
      </c>
      <c r="M26" s="54" t="n">
        <f aca="false">Dec!C26</f>
        <v>0</v>
      </c>
      <c r="N26" s="55" t="n">
        <f aca="false">SUM(B26:M26)</f>
        <v>211.07</v>
      </c>
      <c r="O26" s="55" t="n">
        <f aca="false">Jan!B26+Feb!B26+Mar!B26+Apr!B26+May!B26+Jun!B26+Jul!B26+Aug!B26+Sep!B26+Oct!B26+Nov!B26+Dec!B26</f>
        <v>450</v>
      </c>
      <c r="P26" s="55" t="n">
        <f aca="false">N26-O26</f>
        <v>-238.93</v>
      </c>
    </row>
    <row r="27" customFormat="false" ht="15" hidden="false" customHeight="false" outlineLevel="0" collapsed="false">
      <c r="A27" s="61" t="s">
        <v>45</v>
      </c>
      <c r="B27" s="54" t="n">
        <f aca="false">Jan!C27</f>
        <v>62.1</v>
      </c>
      <c r="C27" s="54" t="n">
        <f aca="false">Feb!C27</f>
        <v>0</v>
      </c>
      <c r="D27" s="54" t="n">
        <f aca="false">Mar!C27</f>
        <v>0</v>
      </c>
      <c r="E27" s="54" t="n">
        <f aca="false">Apr!C27</f>
        <v>0</v>
      </c>
      <c r="F27" s="54" t="n">
        <f aca="false">May!C27</f>
        <v>0</v>
      </c>
      <c r="G27" s="54" t="n">
        <f aca="false">Jun!C27</f>
        <v>0</v>
      </c>
      <c r="H27" s="54" t="n">
        <f aca="false">Jul!C27</f>
        <v>0</v>
      </c>
      <c r="I27" s="54" t="n">
        <f aca="false">Aug!C27</f>
        <v>0</v>
      </c>
      <c r="J27" s="54" t="n">
        <f aca="false">Sep!C27</f>
        <v>0</v>
      </c>
      <c r="K27" s="54" t="n">
        <f aca="false">Oct!C27</f>
        <v>0</v>
      </c>
      <c r="L27" s="54" t="n">
        <f aca="false">Nov!C27</f>
        <v>0</v>
      </c>
      <c r="M27" s="54" t="n">
        <f aca="false">Dec!C27</f>
        <v>0</v>
      </c>
      <c r="N27" s="55" t="n">
        <f aca="false">SUM(B27:M27)</f>
        <v>62.1</v>
      </c>
      <c r="O27" s="55" t="n">
        <f aca="false">Jan!B27+Feb!B27+Mar!B27+Apr!B27+May!B27+Jun!B27+Jul!B27+Aug!B27+Sep!B27+Oct!B27+Nov!B27+Dec!B27</f>
        <v>150</v>
      </c>
      <c r="P27" s="55" t="n">
        <f aca="false">N27-O27</f>
        <v>-87.9</v>
      </c>
    </row>
    <row r="28" customFormat="false" ht="15" hidden="false" customHeight="false" outlineLevel="0" collapsed="false">
      <c r="A28" s="61" t="s">
        <v>46</v>
      </c>
      <c r="B28" s="54" t="n">
        <f aca="false">Jan!C28</f>
        <v>45</v>
      </c>
      <c r="C28" s="54" t="n">
        <f aca="false">Feb!C28</f>
        <v>0</v>
      </c>
      <c r="D28" s="54" t="n">
        <f aca="false">Mar!C28</f>
        <v>0</v>
      </c>
      <c r="E28" s="54" t="n">
        <f aca="false">Apr!C28</f>
        <v>0</v>
      </c>
      <c r="F28" s="54" t="n">
        <f aca="false">May!C28</f>
        <v>0</v>
      </c>
      <c r="G28" s="54" t="n">
        <f aca="false">Jun!C28</f>
        <v>0</v>
      </c>
      <c r="H28" s="54" t="n">
        <f aca="false">Jul!C28</f>
        <v>0</v>
      </c>
      <c r="I28" s="54" t="n">
        <f aca="false">Aug!C28</f>
        <v>0</v>
      </c>
      <c r="J28" s="54" t="n">
        <f aca="false">Sep!C28</f>
        <v>0</v>
      </c>
      <c r="K28" s="54" t="n">
        <f aca="false">Oct!C28</f>
        <v>0</v>
      </c>
      <c r="L28" s="54" t="n">
        <f aca="false">Nov!C28</f>
        <v>0</v>
      </c>
      <c r="M28" s="54" t="n">
        <f aca="false">Dec!C28</f>
        <v>0</v>
      </c>
      <c r="N28" s="55" t="n">
        <f aca="false">SUM(B28:M28)</f>
        <v>45</v>
      </c>
      <c r="O28" s="55" t="n">
        <f aca="false">Jan!B28+Feb!B28+Mar!B28+Apr!B28+May!B28+Jun!B28+Jul!B28+Aug!B28+Sep!B28+Oct!B28+Nov!B28+Dec!B28</f>
        <v>120</v>
      </c>
      <c r="P28" s="55" t="n">
        <f aca="false">N28-O28</f>
        <v>-75</v>
      </c>
    </row>
    <row r="29" customFormat="false" ht="15" hidden="false" customHeight="false" outlineLevel="0" collapsed="false">
      <c r="A29" s="61" t="s">
        <v>47</v>
      </c>
      <c r="B29" s="54" t="n">
        <f aca="false">Jan!C29</f>
        <v>0</v>
      </c>
      <c r="C29" s="54" t="n">
        <f aca="false">Feb!C29</f>
        <v>0</v>
      </c>
      <c r="D29" s="54" t="n">
        <f aca="false">Mar!C29</f>
        <v>0</v>
      </c>
      <c r="E29" s="54" t="n">
        <f aca="false">Apr!C29</f>
        <v>0</v>
      </c>
      <c r="F29" s="54" t="n">
        <f aca="false">May!C29</f>
        <v>0</v>
      </c>
      <c r="G29" s="54" t="n">
        <f aca="false">Jun!C29</f>
        <v>0</v>
      </c>
      <c r="H29" s="54" t="n">
        <f aca="false">Jul!C29</f>
        <v>0</v>
      </c>
      <c r="I29" s="54" t="n">
        <f aca="false">Aug!C29</f>
        <v>0</v>
      </c>
      <c r="J29" s="54" t="n">
        <f aca="false">Sep!C29</f>
        <v>0</v>
      </c>
      <c r="K29" s="54" t="n">
        <f aca="false">Oct!C29</f>
        <v>0</v>
      </c>
      <c r="L29" s="54" t="n">
        <f aca="false">Nov!C29</f>
        <v>0</v>
      </c>
      <c r="M29" s="54" t="n">
        <f aca="false">Dec!C29</f>
        <v>0</v>
      </c>
      <c r="N29" s="55" t="n">
        <f aca="false">SUM(B29:M29)</f>
        <v>0</v>
      </c>
      <c r="O29" s="55" t="n">
        <f aca="false">Jan!B29+Feb!B29+Mar!B29+Apr!B29+May!B29+Jun!B29+Jul!B29+Aug!B29+Sep!B29+Oct!B29+Nov!B29+Dec!B29</f>
        <v>80</v>
      </c>
      <c r="P29" s="55" t="n">
        <f aca="false">N29-O29</f>
        <v>-80</v>
      </c>
    </row>
    <row r="30" customFormat="false" ht="15" hidden="false" customHeight="false" outlineLevel="0" collapsed="false">
      <c r="A30" s="61" t="s">
        <v>48</v>
      </c>
      <c r="B30" s="54" t="n">
        <f aca="false">Jan!C30</f>
        <v>0</v>
      </c>
      <c r="C30" s="54" t="n">
        <f aca="false">Feb!C30</f>
        <v>0</v>
      </c>
      <c r="D30" s="54" t="n">
        <f aca="false">Mar!C30</f>
        <v>0</v>
      </c>
      <c r="E30" s="54" t="n">
        <f aca="false">Apr!C30</f>
        <v>0</v>
      </c>
      <c r="F30" s="54" t="n">
        <f aca="false">May!C30</f>
        <v>0</v>
      </c>
      <c r="G30" s="54" t="n">
        <f aca="false">Jun!C30</f>
        <v>0</v>
      </c>
      <c r="H30" s="54" t="n">
        <f aca="false">Jul!C30</f>
        <v>0</v>
      </c>
      <c r="I30" s="54" t="n">
        <f aca="false">Aug!C30</f>
        <v>0</v>
      </c>
      <c r="J30" s="54" t="n">
        <f aca="false">Sep!C30</f>
        <v>0</v>
      </c>
      <c r="K30" s="54" t="n">
        <f aca="false">Oct!C30</f>
        <v>0</v>
      </c>
      <c r="L30" s="54" t="n">
        <f aca="false">Nov!C30</f>
        <v>0</v>
      </c>
      <c r="M30" s="54" t="n">
        <f aca="false">Dec!C30</f>
        <v>0</v>
      </c>
      <c r="N30" s="55" t="n">
        <f aca="false">SUM(B30:M30)</f>
        <v>0</v>
      </c>
      <c r="O30" s="55" t="n">
        <f aca="false">Jan!B30+Feb!B30+Mar!B30+Apr!B30+May!B30+Jun!B30+Jul!B30+Aug!B30+Sep!B30+Oct!B30+Nov!B30+Dec!B30</f>
        <v>100</v>
      </c>
      <c r="P30" s="55" t="n">
        <f aca="false">N30-O30</f>
        <v>-100</v>
      </c>
    </row>
    <row r="31" customFormat="false" ht="15" hidden="false" customHeight="false" outlineLevel="0" collapsed="false">
      <c r="A31" s="61" t="s">
        <v>49</v>
      </c>
      <c r="B31" s="54" t="n">
        <f aca="false">Jan!C31</f>
        <v>0</v>
      </c>
      <c r="C31" s="54" t="n">
        <f aca="false">Feb!C31</f>
        <v>0</v>
      </c>
      <c r="D31" s="54" t="n">
        <f aca="false">Mar!C31</f>
        <v>0</v>
      </c>
      <c r="E31" s="54" t="n">
        <f aca="false">Apr!C31</f>
        <v>0</v>
      </c>
      <c r="F31" s="54" t="n">
        <f aca="false">May!C31</f>
        <v>0</v>
      </c>
      <c r="G31" s="54" t="n">
        <f aca="false">Jun!C31</f>
        <v>0</v>
      </c>
      <c r="H31" s="54" t="n">
        <f aca="false">Jul!C31</f>
        <v>0</v>
      </c>
      <c r="I31" s="54" t="n">
        <f aca="false">Aug!C31</f>
        <v>0</v>
      </c>
      <c r="J31" s="54" t="n">
        <f aca="false">Sep!C31</f>
        <v>0</v>
      </c>
      <c r="K31" s="54" t="n">
        <f aca="false">Oct!C31</f>
        <v>0</v>
      </c>
      <c r="L31" s="54" t="n">
        <f aca="false">Nov!C31</f>
        <v>0</v>
      </c>
      <c r="M31" s="54" t="n">
        <f aca="false">Dec!C31</f>
        <v>0</v>
      </c>
      <c r="N31" s="55" t="n">
        <f aca="false">SUM(B31:M31)</f>
        <v>0</v>
      </c>
      <c r="O31" s="55" t="n">
        <f aca="false">Jan!B31+Feb!B31+Mar!B31+Apr!B31+May!B31+Jun!B31+Jul!B31+Aug!B31+Sep!B31+Oct!B31+Nov!B31+Dec!B31</f>
        <v>50</v>
      </c>
      <c r="P31" s="55" t="n">
        <f aca="false">N31-O31</f>
        <v>-50</v>
      </c>
    </row>
    <row r="32" customFormat="false" ht="15" hidden="false" customHeight="false" outlineLevel="0" collapsed="false">
      <c r="A32" s="61" t="s">
        <v>50</v>
      </c>
      <c r="B32" s="54" t="n">
        <f aca="false">Jan!C32</f>
        <v>0</v>
      </c>
      <c r="C32" s="54" t="n">
        <f aca="false">Feb!C32</f>
        <v>0</v>
      </c>
      <c r="D32" s="54" t="n">
        <f aca="false">Mar!C32</f>
        <v>0</v>
      </c>
      <c r="E32" s="54" t="n">
        <f aca="false">Apr!C32</f>
        <v>0</v>
      </c>
      <c r="F32" s="54" t="n">
        <f aca="false">May!C32</f>
        <v>0</v>
      </c>
      <c r="G32" s="54" t="n">
        <f aca="false">Jun!C32</f>
        <v>0</v>
      </c>
      <c r="H32" s="54" t="n">
        <f aca="false">Jul!C32</f>
        <v>0</v>
      </c>
      <c r="I32" s="54" t="n">
        <f aca="false">Aug!C32</f>
        <v>0</v>
      </c>
      <c r="J32" s="54" t="n">
        <f aca="false">Sep!C32</f>
        <v>0</v>
      </c>
      <c r="K32" s="54" t="n">
        <f aca="false">Oct!C32</f>
        <v>0</v>
      </c>
      <c r="L32" s="54" t="n">
        <f aca="false">Nov!C32</f>
        <v>0</v>
      </c>
      <c r="M32" s="54" t="n">
        <f aca="false">Dec!C32</f>
        <v>0</v>
      </c>
      <c r="N32" s="55" t="n">
        <f aca="false">SUM(B32:M32)</f>
        <v>0</v>
      </c>
      <c r="O32" s="55" t="n">
        <f aca="false">Jan!B32+Feb!B32+Mar!B32+Apr!B32+May!B32+Jun!B32+Jul!B32+Aug!B32+Sep!B32+Oct!B32+Nov!B32+Dec!B32</f>
        <v>60</v>
      </c>
      <c r="P32" s="55" t="n">
        <f aca="false">N32-O32</f>
        <v>-60</v>
      </c>
    </row>
    <row r="33" customFormat="false" ht="15" hidden="false" customHeight="false" outlineLevel="0" collapsed="false">
      <c r="A33" s="61" t="s">
        <v>51</v>
      </c>
      <c r="B33" s="54" t="n">
        <f aca="false">Jan!C33</f>
        <v>0</v>
      </c>
      <c r="C33" s="54" t="n">
        <f aca="false">Feb!C33</f>
        <v>0</v>
      </c>
      <c r="D33" s="54" t="n">
        <f aca="false">Mar!C33</f>
        <v>0</v>
      </c>
      <c r="E33" s="54" t="n">
        <f aca="false">Apr!C33</f>
        <v>0</v>
      </c>
      <c r="F33" s="54" t="n">
        <f aca="false">May!C33</f>
        <v>0</v>
      </c>
      <c r="G33" s="54" t="n">
        <f aca="false">Jun!C33</f>
        <v>0</v>
      </c>
      <c r="H33" s="54" t="n">
        <f aca="false">Jul!C33</f>
        <v>0</v>
      </c>
      <c r="I33" s="54" t="n">
        <f aca="false">Aug!C33</f>
        <v>0</v>
      </c>
      <c r="J33" s="54" t="n">
        <f aca="false">Sep!C33</f>
        <v>0</v>
      </c>
      <c r="K33" s="54" t="n">
        <f aca="false">Oct!C33</f>
        <v>0</v>
      </c>
      <c r="L33" s="54" t="n">
        <f aca="false">Nov!C33</f>
        <v>0</v>
      </c>
      <c r="M33" s="54" t="n">
        <f aca="false">Dec!C33</f>
        <v>0</v>
      </c>
      <c r="N33" s="55" t="n">
        <f aca="false">SUM(B33:M33)</f>
        <v>0</v>
      </c>
      <c r="O33" s="55" t="n">
        <f aca="false">Jan!B33+Feb!B33+Mar!B33+Apr!B33+May!B33+Jun!B33+Jul!B33+Aug!B33+Sep!B33+Oct!B33+Nov!B33+Dec!B33</f>
        <v>40</v>
      </c>
      <c r="P33" s="55" t="n">
        <f aca="false">N33-O33</f>
        <v>-40</v>
      </c>
    </row>
    <row r="34" customFormat="false" ht="15" hidden="false" customHeight="false" outlineLevel="0" collapsed="false">
      <c r="A34" s="61" t="s">
        <v>52</v>
      </c>
      <c r="B34" s="54" t="n">
        <f aca="false">Jan!C34</f>
        <v>0</v>
      </c>
      <c r="C34" s="54" t="n">
        <f aca="false">Feb!C34</f>
        <v>0</v>
      </c>
      <c r="D34" s="54" t="n">
        <f aca="false">Mar!C34</f>
        <v>0</v>
      </c>
      <c r="E34" s="54" t="n">
        <f aca="false">Apr!C34</f>
        <v>0</v>
      </c>
      <c r="F34" s="54" t="n">
        <f aca="false">May!C34</f>
        <v>0</v>
      </c>
      <c r="G34" s="54" t="n">
        <f aca="false">Jun!C34</f>
        <v>0</v>
      </c>
      <c r="H34" s="54" t="n">
        <f aca="false">Jul!C34</f>
        <v>0</v>
      </c>
      <c r="I34" s="54" t="n">
        <f aca="false">Aug!C34</f>
        <v>0</v>
      </c>
      <c r="J34" s="54" t="n">
        <f aca="false">Sep!C34</f>
        <v>0</v>
      </c>
      <c r="K34" s="54" t="n">
        <f aca="false">Oct!C34</f>
        <v>0</v>
      </c>
      <c r="L34" s="54" t="n">
        <f aca="false">Nov!C34</f>
        <v>0</v>
      </c>
      <c r="M34" s="54" t="n">
        <f aca="false">Dec!C34</f>
        <v>0</v>
      </c>
      <c r="N34" s="55" t="n">
        <f aca="false">SUM(B34:M34)</f>
        <v>0</v>
      </c>
      <c r="O34" s="55" t="n">
        <f aca="false">Jan!B34+Feb!B34+Mar!B34+Apr!B34+May!B34+Jun!B34+Jul!B34+Aug!B34+Sep!B34+Oct!B34+Nov!B34+Dec!B34</f>
        <v>0</v>
      </c>
      <c r="P34" s="55" t="n">
        <f aca="false">N34-O34</f>
        <v>0</v>
      </c>
    </row>
    <row r="35" customFormat="false" ht="15" hidden="false" customHeight="false" outlineLevel="0" collapsed="false">
      <c r="A35" s="61" t="s">
        <v>53</v>
      </c>
      <c r="B35" s="54" t="n">
        <f aca="false">Jan!C35</f>
        <v>0</v>
      </c>
      <c r="C35" s="54" t="n">
        <f aca="false">Feb!C35</f>
        <v>0</v>
      </c>
      <c r="D35" s="54" t="n">
        <f aca="false">Mar!C35</f>
        <v>0</v>
      </c>
      <c r="E35" s="54" t="n">
        <f aca="false">Apr!C35</f>
        <v>0</v>
      </c>
      <c r="F35" s="54" t="n">
        <f aca="false">May!C35</f>
        <v>0</v>
      </c>
      <c r="G35" s="54" t="n">
        <f aca="false">Jun!C35</f>
        <v>0</v>
      </c>
      <c r="H35" s="54" t="n">
        <f aca="false">Jul!C35</f>
        <v>0</v>
      </c>
      <c r="I35" s="54" t="n">
        <f aca="false">Aug!C35</f>
        <v>0</v>
      </c>
      <c r="J35" s="54" t="n">
        <f aca="false">Sep!C35</f>
        <v>0</v>
      </c>
      <c r="K35" s="54" t="n">
        <f aca="false">Oct!C35</f>
        <v>0</v>
      </c>
      <c r="L35" s="54" t="n">
        <f aca="false">Nov!C35</f>
        <v>0</v>
      </c>
      <c r="M35" s="54" t="n">
        <f aca="false">Dec!C35</f>
        <v>0</v>
      </c>
      <c r="N35" s="55" t="n">
        <f aca="false">SUM(B35:M35)</f>
        <v>0</v>
      </c>
      <c r="O35" s="55" t="n">
        <f aca="false">Jan!B35+Feb!B35+Mar!B35+Apr!B35+May!B35+Jun!B35+Jul!B35+Aug!B35+Sep!B35+Oct!B35+Nov!B35+Dec!B35</f>
        <v>40</v>
      </c>
      <c r="P35" s="55" t="n">
        <f aca="false">N35-O35</f>
        <v>-40</v>
      </c>
    </row>
    <row r="36" customFormat="false" ht="15" hidden="false" customHeight="false" outlineLevel="0" collapsed="false">
      <c r="A36" s="61" t="s">
        <v>54</v>
      </c>
      <c r="B36" s="54" t="n">
        <f aca="false">Jan!C36</f>
        <v>0</v>
      </c>
      <c r="C36" s="54" t="n">
        <f aca="false">Feb!C36</f>
        <v>0</v>
      </c>
      <c r="D36" s="54" t="n">
        <f aca="false">Mar!C36</f>
        <v>0</v>
      </c>
      <c r="E36" s="54" t="n">
        <f aca="false">Apr!C36</f>
        <v>0</v>
      </c>
      <c r="F36" s="54" t="n">
        <f aca="false">May!C36</f>
        <v>0</v>
      </c>
      <c r="G36" s="54" t="n">
        <f aca="false">Jun!C36</f>
        <v>0</v>
      </c>
      <c r="H36" s="54" t="n">
        <f aca="false">Jul!C36</f>
        <v>0</v>
      </c>
      <c r="I36" s="54" t="n">
        <f aca="false">Aug!C36</f>
        <v>0</v>
      </c>
      <c r="J36" s="54" t="n">
        <f aca="false">Sep!C36</f>
        <v>0</v>
      </c>
      <c r="K36" s="54" t="n">
        <f aca="false">Oct!C36</f>
        <v>0</v>
      </c>
      <c r="L36" s="54" t="n">
        <f aca="false">Nov!C36</f>
        <v>0</v>
      </c>
      <c r="M36" s="54" t="n">
        <f aca="false">Dec!C36</f>
        <v>0</v>
      </c>
      <c r="N36" s="55" t="n">
        <f aca="false">SUM(B36:M36)</f>
        <v>0</v>
      </c>
      <c r="O36" s="55" t="n">
        <f aca="false">Jan!B36+Feb!B36+Mar!B36+Apr!B36+May!B36+Jun!B36+Jul!B36+Aug!B36+Sep!B36+Oct!B36+Nov!B36+Dec!B36</f>
        <v>0</v>
      </c>
      <c r="P36" s="55" t="n">
        <f aca="false">N36-O36</f>
        <v>0</v>
      </c>
    </row>
    <row r="37" customFormat="false" ht="15" hidden="false" customHeight="false" outlineLevel="0" collapsed="false">
      <c r="A37" s="61" t="s">
        <v>55</v>
      </c>
      <c r="B37" s="54" t="n">
        <f aca="false">Jan!C37</f>
        <v>0</v>
      </c>
      <c r="C37" s="54" t="n">
        <f aca="false">Feb!C37</f>
        <v>0</v>
      </c>
      <c r="D37" s="54" t="n">
        <f aca="false">Mar!C37</f>
        <v>0</v>
      </c>
      <c r="E37" s="54" t="n">
        <f aca="false">Apr!C37</f>
        <v>0</v>
      </c>
      <c r="F37" s="54" t="n">
        <f aca="false">May!C37</f>
        <v>0</v>
      </c>
      <c r="G37" s="54" t="n">
        <f aca="false">Jun!C37</f>
        <v>0</v>
      </c>
      <c r="H37" s="54" t="n">
        <f aca="false">Jul!C37</f>
        <v>0</v>
      </c>
      <c r="I37" s="54" t="n">
        <f aca="false">Aug!C37</f>
        <v>0</v>
      </c>
      <c r="J37" s="54" t="n">
        <f aca="false">Sep!C37</f>
        <v>0</v>
      </c>
      <c r="K37" s="54" t="n">
        <f aca="false">Oct!C37</f>
        <v>0</v>
      </c>
      <c r="L37" s="54" t="n">
        <f aca="false">Nov!C37</f>
        <v>0</v>
      </c>
      <c r="M37" s="54" t="n">
        <f aca="false">Dec!C37</f>
        <v>0</v>
      </c>
      <c r="N37" s="55" t="n">
        <f aca="false">SUM(B37:M37)</f>
        <v>0</v>
      </c>
      <c r="O37" s="55" t="n">
        <f aca="false">Jan!B37+Feb!B37+Mar!B37+Apr!B37+May!B37+Jun!B37+Jul!B37+Aug!B37+Sep!B37+Oct!B37+Nov!B37+Dec!B37</f>
        <v>50</v>
      </c>
      <c r="P37" s="55" t="n">
        <f aca="false">N37-O37</f>
        <v>-50</v>
      </c>
    </row>
    <row r="38" customFormat="false" ht="15" hidden="false" customHeight="false" outlineLevel="0" collapsed="false">
      <c r="A38" s="56" t="s">
        <v>72</v>
      </c>
      <c r="B38" s="57" t="n">
        <f aca="false">SUM(B26:B37)</f>
        <v>318.17</v>
      </c>
      <c r="C38" s="57" t="n">
        <f aca="false">SUM(C26:C37)</f>
        <v>0</v>
      </c>
      <c r="D38" s="57" t="n">
        <f aca="false">SUM(D26:D37)</f>
        <v>0</v>
      </c>
      <c r="E38" s="57" t="n">
        <f aca="false">SUM(E26:E37)</f>
        <v>0</v>
      </c>
      <c r="F38" s="57" t="n">
        <f aca="false">SUM(F26:F37)</f>
        <v>0</v>
      </c>
      <c r="G38" s="57" t="n">
        <f aca="false">SUM(G26:G37)</f>
        <v>0</v>
      </c>
      <c r="H38" s="57" t="n">
        <f aca="false">SUM(H26:H37)</f>
        <v>0</v>
      </c>
      <c r="I38" s="57" t="n">
        <f aca="false">SUM(I26:I37)</f>
        <v>0</v>
      </c>
      <c r="J38" s="57" t="n">
        <f aca="false">SUM(J26:J37)</f>
        <v>0</v>
      </c>
      <c r="K38" s="57" t="n">
        <f aca="false">SUM(K26:K37)</f>
        <v>0</v>
      </c>
      <c r="L38" s="57" t="n">
        <f aca="false">SUM(L26:L37)</f>
        <v>0</v>
      </c>
      <c r="M38" s="57" t="n">
        <f aca="false">SUM(M26:M37)</f>
        <v>0</v>
      </c>
      <c r="N38" s="57" t="n">
        <f aca="false">SUM(N26:N37)</f>
        <v>318.17</v>
      </c>
      <c r="O38" s="57" t="n">
        <f aca="false">SUM(O26:O37)</f>
        <v>1140</v>
      </c>
      <c r="P38" s="57" t="n">
        <f aca="false">SUM(P26:P37)</f>
        <v>-821.83</v>
      </c>
    </row>
    <row r="40" customFormat="false" ht="18" hidden="false" customHeight="true" outlineLevel="0" collapsed="false">
      <c r="A40" s="62" t="s">
        <v>73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</row>
    <row r="41" customFormat="false" ht="15" hidden="false" customHeight="false" outlineLevel="0" collapsed="false">
      <c r="A41" s="63" t="s">
        <v>74</v>
      </c>
      <c r="B41" s="54" t="n">
        <f aca="false">Jan!C41</f>
        <v>300</v>
      </c>
      <c r="C41" s="54" t="n">
        <f aca="false">Feb!C41</f>
        <v>0</v>
      </c>
      <c r="D41" s="54" t="n">
        <f aca="false">Mar!C41</f>
        <v>0</v>
      </c>
      <c r="E41" s="54" t="n">
        <f aca="false">Apr!C41</f>
        <v>0</v>
      </c>
      <c r="F41" s="54" t="n">
        <f aca="false">May!C41</f>
        <v>0</v>
      </c>
      <c r="G41" s="54" t="n">
        <f aca="false">Jun!C41</f>
        <v>0</v>
      </c>
      <c r="H41" s="54" t="n">
        <f aca="false">Jul!C41</f>
        <v>0</v>
      </c>
      <c r="I41" s="54" t="n">
        <f aca="false">Aug!C41</f>
        <v>0</v>
      </c>
      <c r="J41" s="54" t="n">
        <f aca="false">Sep!C41</f>
        <v>0</v>
      </c>
      <c r="K41" s="54" t="n">
        <f aca="false">Oct!C41</f>
        <v>0</v>
      </c>
      <c r="L41" s="54" t="n">
        <f aca="false">Nov!C41</f>
        <v>0</v>
      </c>
      <c r="M41" s="54" t="n">
        <f aca="false">Dec!C41</f>
        <v>0</v>
      </c>
      <c r="N41" s="55" t="n">
        <f aca="false">SUM(B41:M41)</f>
        <v>300</v>
      </c>
      <c r="O41" s="55" t="n">
        <f aca="false">Jan!B41+Feb!B41+Mar!B41+Apr!B41+May!B41+Jun!B41+Jul!B41+Aug!B41+Sep!B41+Oct!B41+Nov!B41+Dec!B41</f>
        <v>300</v>
      </c>
      <c r="P41" s="55" t="n">
        <f aca="false">N41-O41</f>
        <v>0</v>
      </c>
    </row>
    <row r="42" customFormat="false" ht="15" hidden="false" customHeight="false" outlineLevel="0" collapsed="false">
      <c r="A42" s="63" t="s">
        <v>75</v>
      </c>
      <c r="B42" s="54" t="n">
        <f aca="false">Jan!C42</f>
        <v>0</v>
      </c>
      <c r="C42" s="54" t="n">
        <f aca="false">Feb!C42</f>
        <v>0</v>
      </c>
      <c r="D42" s="54" t="n">
        <f aca="false">Mar!C42</f>
        <v>0</v>
      </c>
      <c r="E42" s="54" t="n">
        <f aca="false">Apr!C42</f>
        <v>0</v>
      </c>
      <c r="F42" s="54" t="n">
        <f aca="false">May!C42</f>
        <v>0</v>
      </c>
      <c r="G42" s="54" t="n">
        <f aca="false">Jun!C42</f>
        <v>0</v>
      </c>
      <c r="H42" s="54" t="n">
        <f aca="false">Jul!C42</f>
        <v>0</v>
      </c>
      <c r="I42" s="54" t="n">
        <f aca="false">Aug!C42</f>
        <v>0</v>
      </c>
      <c r="J42" s="54" t="n">
        <f aca="false">Sep!C42</f>
        <v>0</v>
      </c>
      <c r="K42" s="54" t="n">
        <f aca="false">Oct!C42</f>
        <v>0</v>
      </c>
      <c r="L42" s="54" t="n">
        <f aca="false">Nov!C42</f>
        <v>0</v>
      </c>
      <c r="M42" s="54" t="n">
        <f aca="false">Dec!C42</f>
        <v>0</v>
      </c>
      <c r="N42" s="55" t="n">
        <f aca="false">SUM(B42:M42)</f>
        <v>0</v>
      </c>
      <c r="O42" s="55" t="n">
        <f aca="false">Jan!B42+Feb!B42+Mar!B42+Apr!B42+May!B42+Jun!B42+Jul!B42+Aug!B42+Sep!B42+Oct!B42+Nov!B42+Dec!B42</f>
        <v>200</v>
      </c>
      <c r="P42" s="55" t="n">
        <f aca="false">N42-O42</f>
        <v>-200</v>
      </c>
    </row>
    <row r="43" customFormat="false" ht="15" hidden="false" customHeight="false" outlineLevel="0" collapsed="false">
      <c r="A43" s="63" t="s">
        <v>76</v>
      </c>
      <c r="B43" s="54" t="n">
        <f aca="false">Jan!C43</f>
        <v>0</v>
      </c>
      <c r="C43" s="54" t="n">
        <f aca="false">Feb!C43</f>
        <v>0</v>
      </c>
      <c r="D43" s="54" t="n">
        <f aca="false">Mar!C43</f>
        <v>0</v>
      </c>
      <c r="E43" s="54" t="n">
        <f aca="false">Apr!C43</f>
        <v>0</v>
      </c>
      <c r="F43" s="54" t="n">
        <f aca="false">May!C43</f>
        <v>0</v>
      </c>
      <c r="G43" s="54" t="n">
        <f aca="false">Jun!C43</f>
        <v>0</v>
      </c>
      <c r="H43" s="54" t="n">
        <f aca="false">Jul!C43</f>
        <v>0</v>
      </c>
      <c r="I43" s="54" t="n">
        <f aca="false">Aug!C43</f>
        <v>0</v>
      </c>
      <c r="J43" s="54" t="n">
        <f aca="false">Sep!C43</f>
        <v>0</v>
      </c>
      <c r="K43" s="54" t="n">
        <f aca="false">Oct!C43</f>
        <v>0</v>
      </c>
      <c r="L43" s="54" t="n">
        <f aca="false">Nov!C43</f>
        <v>0</v>
      </c>
      <c r="M43" s="54" t="n">
        <f aca="false">Dec!C43</f>
        <v>0</v>
      </c>
      <c r="N43" s="55" t="n">
        <f aca="false">SUM(B43:M43)</f>
        <v>0</v>
      </c>
      <c r="O43" s="55" t="n">
        <f aca="false">Jan!B43+Feb!B43+Mar!B43+Apr!B43+May!B43+Jun!B43+Jul!B43+Aug!B43+Sep!B43+Oct!B43+Nov!B43+Dec!B43</f>
        <v>0</v>
      </c>
      <c r="P43" s="55" t="n">
        <f aca="false">N43-O43</f>
        <v>0</v>
      </c>
    </row>
    <row r="44" customFormat="false" ht="15" hidden="false" customHeight="false" outlineLevel="0" collapsed="false">
      <c r="A44" s="63" t="s">
        <v>77</v>
      </c>
      <c r="B44" s="54" t="n">
        <f aca="false">Jan!C44</f>
        <v>150</v>
      </c>
      <c r="C44" s="54" t="n">
        <f aca="false">Feb!C44</f>
        <v>0</v>
      </c>
      <c r="D44" s="54" t="n">
        <f aca="false">Mar!C44</f>
        <v>0</v>
      </c>
      <c r="E44" s="54" t="n">
        <f aca="false">Apr!C44</f>
        <v>0</v>
      </c>
      <c r="F44" s="54" t="n">
        <f aca="false">May!C44</f>
        <v>0</v>
      </c>
      <c r="G44" s="54" t="n">
        <f aca="false">Jun!C44</f>
        <v>0</v>
      </c>
      <c r="H44" s="54" t="n">
        <f aca="false">Jul!C44</f>
        <v>0</v>
      </c>
      <c r="I44" s="54" t="n">
        <f aca="false">Aug!C44</f>
        <v>0</v>
      </c>
      <c r="J44" s="54" t="n">
        <f aca="false">Sep!C44</f>
        <v>0</v>
      </c>
      <c r="K44" s="54" t="n">
        <f aca="false">Oct!C44</f>
        <v>0</v>
      </c>
      <c r="L44" s="54" t="n">
        <f aca="false">Nov!C44</f>
        <v>0</v>
      </c>
      <c r="M44" s="54" t="n">
        <f aca="false">Dec!C44</f>
        <v>0</v>
      </c>
      <c r="N44" s="55" t="n">
        <f aca="false">SUM(B44:M44)</f>
        <v>150</v>
      </c>
      <c r="O44" s="55" t="n">
        <f aca="false">Jan!B44+Feb!B44+Mar!B44+Apr!B44+May!B44+Jun!B44+Jul!B44+Aug!B44+Sep!B44+Oct!B44+Nov!B44+Dec!B44</f>
        <v>150</v>
      </c>
      <c r="P44" s="55" t="n">
        <f aca="false">N44-O44</f>
        <v>0</v>
      </c>
    </row>
    <row r="45" customFormat="false" ht="15" hidden="false" customHeight="false" outlineLevel="0" collapsed="false">
      <c r="A45" s="63" t="s">
        <v>78</v>
      </c>
      <c r="B45" s="54" t="n">
        <f aca="false">Jan!C45</f>
        <v>0</v>
      </c>
      <c r="C45" s="54" t="n">
        <f aca="false">Feb!C45</f>
        <v>0</v>
      </c>
      <c r="D45" s="54" t="n">
        <f aca="false">Mar!C45</f>
        <v>0</v>
      </c>
      <c r="E45" s="54" t="n">
        <f aca="false">Apr!C45</f>
        <v>0</v>
      </c>
      <c r="F45" s="54" t="n">
        <f aca="false">May!C45</f>
        <v>0</v>
      </c>
      <c r="G45" s="54" t="n">
        <f aca="false">Jun!C45</f>
        <v>0</v>
      </c>
      <c r="H45" s="54" t="n">
        <f aca="false">Jul!C45</f>
        <v>0</v>
      </c>
      <c r="I45" s="54" t="n">
        <f aca="false">Aug!C45</f>
        <v>0</v>
      </c>
      <c r="J45" s="54" t="n">
        <f aca="false">Sep!C45</f>
        <v>0</v>
      </c>
      <c r="K45" s="54" t="n">
        <f aca="false">Oct!C45</f>
        <v>0</v>
      </c>
      <c r="L45" s="54" t="n">
        <f aca="false">Nov!C45</f>
        <v>0</v>
      </c>
      <c r="M45" s="54" t="n">
        <f aca="false">Dec!C45</f>
        <v>0</v>
      </c>
      <c r="N45" s="55" t="n">
        <f aca="false">SUM(B45:M45)</f>
        <v>0</v>
      </c>
      <c r="O45" s="55" t="n">
        <f aca="false">Jan!B45+Feb!B45+Mar!B45+Apr!B45+May!B45+Jun!B45+Jul!B45+Aug!B45+Sep!B45+Oct!B45+Nov!B45+Dec!B45</f>
        <v>50</v>
      </c>
      <c r="P45" s="55" t="n">
        <f aca="false">N45-O45</f>
        <v>-50</v>
      </c>
    </row>
    <row r="46" customFormat="false" ht="15" hidden="false" customHeight="false" outlineLevel="0" collapsed="false">
      <c r="A46" s="63" t="s">
        <v>79</v>
      </c>
      <c r="B46" s="54" t="n">
        <f aca="false">Jan!C46</f>
        <v>0</v>
      </c>
      <c r="C46" s="54" t="n">
        <f aca="false">Feb!C46</f>
        <v>0</v>
      </c>
      <c r="D46" s="54" t="n">
        <f aca="false">Mar!C46</f>
        <v>0</v>
      </c>
      <c r="E46" s="54" t="n">
        <f aca="false">Apr!C46</f>
        <v>0</v>
      </c>
      <c r="F46" s="54" t="n">
        <f aca="false">May!C46</f>
        <v>0</v>
      </c>
      <c r="G46" s="54" t="n">
        <f aca="false">Jun!C46</f>
        <v>0</v>
      </c>
      <c r="H46" s="54" t="n">
        <f aca="false">Jul!C46</f>
        <v>0</v>
      </c>
      <c r="I46" s="54" t="n">
        <f aca="false">Aug!C46</f>
        <v>0</v>
      </c>
      <c r="J46" s="54" t="n">
        <f aca="false">Sep!C46</f>
        <v>0</v>
      </c>
      <c r="K46" s="54" t="n">
        <f aca="false">Oct!C46</f>
        <v>0</v>
      </c>
      <c r="L46" s="54" t="n">
        <f aca="false">Nov!C46</f>
        <v>0</v>
      </c>
      <c r="M46" s="54" t="n">
        <f aca="false">Dec!C46</f>
        <v>0</v>
      </c>
      <c r="N46" s="55" t="n">
        <f aca="false">SUM(B46:M46)</f>
        <v>0</v>
      </c>
      <c r="O46" s="55" t="n">
        <f aca="false">Jan!B46+Feb!B46+Mar!B46+Apr!B46+May!B46+Jun!B46+Jul!B46+Aug!B46+Sep!B46+Oct!B46+Nov!B46+Dec!B46</f>
        <v>0</v>
      </c>
      <c r="P46" s="55" t="n">
        <f aca="false">N46-O46</f>
        <v>0</v>
      </c>
    </row>
    <row r="47" customFormat="false" ht="15" hidden="false" customHeight="false" outlineLevel="0" collapsed="false">
      <c r="A47" s="56" t="s">
        <v>80</v>
      </c>
      <c r="B47" s="57" t="n">
        <f aca="false">SUM(B41:B46)</f>
        <v>450</v>
      </c>
      <c r="C47" s="57" t="n">
        <f aca="false">SUM(C41:C46)</f>
        <v>0</v>
      </c>
      <c r="D47" s="57" t="n">
        <f aca="false">SUM(D41:D46)</f>
        <v>0</v>
      </c>
      <c r="E47" s="57" t="n">
        <f aca="false">SUM(E41:E46)</f>
        <v>0</v>
      </c>
      <c r="F47" s="57" t="n">
        <f aca="false">SUM(F41:F46)</f>
        <v>0</v>
      </c>
      <c r="G47" s="57" t="n">
        <f aca="false">SUM(G41:G46)</f>
        <v>0</v>
      </c>
      <c r="H47" s="57" t="n">
        <f aca="false">SUM(H41:H46)</f>
        <v>0</v>
      </c>
      <c r="I47" s="57" t="n">
        <f aca="false">SUM(I41:I46)</f>
        <v>0</v>
      </c>
      <c r="J47" s="57" t="n">
        <f aca="false">SUM(J41:J46)</f>
        <v>0</v>
      </c>
      <c r="K47" s="57" t="n">
        <f aca="false">SUM(K41:K46)</f>
        <v>0</v>
      </c>
      <c r="L47" s="57" t="n">
        <f aca="false">SUM(L41:L46)</f>
        <v>0</v>
      </c>
      <c r="M47" s="57" t="n">
        <f aca="false">SUM(M41:M46)</f>
        <v>0</v>
      </c>
      <c r="N47" s="57" t="n">
        <f aca="false">SUM(N41:N46)</f>
        <v>450</v>
      </c>
      <c r="O47" s="57" t="n">
        <f aca="false">SUM(O41:O46)</f>
        <v>700</v>
      </c>
      <c r="P47" s="57" t="n">
        <f aca="false">SUM(P41:P46)</f>
        <v>-250</v>
      </c>
    </row>
    <row r="49" customFormat="false" ht="18" hidden="false" customHeight="true" outlineLevel="0" collapsed="false">
      <c r="A49" s="64" t="s">
        <v>101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</row>
    <row r="50" customFormat="false" ht="15" hidden="false" customHeight="false" outlineLevel="0" collapsed="false">
      <c r="A50" s="65" t="s">
        <v>68</v>
      </c>
      <c r="B50" s="55" t="n">
        <f aca="false">B12</f>
        <v>6850</v>
      </c>
      <c r="C50" s="55" t="n">
        <f aca="false">C12</f>
        <v>0</v>
      </c>
      <c r="D50" s="55" t="n">
        <f aca="false">D12</f>
        <v>0</v>
      </c>
      <c r="E50" s="55" t="n">
        <f aca="false">E12</f>
        <v>0</v>
      </c>
      <c r="F50" s="55" t="n">
        <f aca="false">F12</f>
        <v>0</v>
      </c>
      <c r="G50" s="55" t="n">
        <f aca="false">G12</f>
        <v>0</v>
      </c>
      <c r="H50" s="55" t="n">
        <f aca="false">H12</f>
        <v>0</v>
      </c>
      <c r="I50" s="55" t="n">
        <f aca="false">I12</f>
        <v>0</v>
      </c>
      <c r="J50" s="55" t="n">
        <f aca="false">J12</f>
        <v>0</v>
      </c>
      <c r="K50" s="55" t="n">
        <f aca="false">K12</f>
        <v>0</v>
      </c>
      <c r="L50" s="55" t="n">
        <f aca="false">L12</f>
        <v>0</v>
      </c>
      <c r="M50" s="55" t="n">
        <f aca="false">M12</f>
        <v>0</v>
      </c>
      <c r="N50" s="66" t="n">
        <f aca="false">SUM(B50:M50)</f>
        <v>6850</v>
      </c>
    </row>
    <row r="51" customFormat="false" ht="15" hidden="false" customHeight="false" outlineLevel="0" collapsed="false">
      <c r="A51" s="65" t="s">
        <v>102</v>
      </c>
      <c r="B51" s="55" t="n">
        <f aca="false">B23+B38</f>
        <v>1958.47</v>
      </c>
      <c r="C51" s="55" t="n">
        <f aca="false">C23+C38</f>
        <v>0</v>
      </c>
      <c r="D51" s="55" t="n">
        <f aca="false">D23+D38</f>
        <v>0</v>
      </c>
      <c r="E51" s="55" t="n">
        <f aca="false">E23+E38</f>
        <v>0</v>
      </c>
      <c r="F51" s="55" t="n">
        <f aca="false">F23+F38</f>
        <v>0</v>
      </c>
      <c r="G51" s="55" t="n">
        <f aca="false">G23+G38</f>
        <v>0</v>
      </c>
      <c r="H51" s="55" t="n">
        <f aca="false">H23+H38</f>
        <v>0</v>
      </c>
      <c r="I51" s="55" t="n">
        <f aca="false">I23+I38</f>
        <v>0</v>
      </c>
      <c r="J51" s="55" t="n">
        <f aca="false">J23+J38</f>
        <v>0</v>
      </c>
      <c r="K51" s="55" t="n">
        <f aca="false">K23+K38</f>
        <v>0</v>
      </c>
      <c r="L51" s="55" t="n">
        <f aca="false">L23+L38</f>
        <v>0</v>
      </c>
      <c r="M51" s="55" t="n">
        <f aca="false">M23+M38</f>
        <v>0</v>
      </c>
      <c r="N51" s="66" t="n">
        <f aca="false">SUM(B51:M51)</f>
        <v>1958.47</v>
      </c>
    </row>
    <row r="52" customFormat="false" ht="15" hidden="false" customHeight="false" outlineLevel="0" collapsed="false">
      <c r="A52" s="65" t="s">
        <v>80</v>
      </c>
      <c r="B52" s="55" t="n">
        <f aca="false">B47</f>
        <v>450</v>
      </c>
      <c r="C52" s="55" t="n">
        <f aca="false">C47</f>
        <v>0</v>
      </c>
      <c r="D52" s="55" t="n">
        <f aca="false">D47</f>
        <v>0</v>
      </c>
      <c r="E52" s="55" t="n">
        <f aca="false">E47</f>
        <v>0</v>
      </c>
      <c r="F52" s="55" t="n">
        <f aca="false">F47</f>
        <v>0</v>
      </c>
      <c r="G52" s="55" t="n">
        <f aca="false">G47</f>
        <v>0</v>
      </c>
      <c r="H52" s="55" t="n">
        <f aca="false">H47</f>
        <v>0</v>
      </c>
      <c r="I52" s="55" t="n">
        <f aca="false">I47</f>
        <v>0</v>
      </c>
      <c r="J52" s="55" t="n">
        <f aca="false">J47</f>
        <v>0</v>
      </c>
      <c r="K52" s="55" t="n">
        <f aca="false">K47</f>
        <v>0</v>
      </c>
      <c r="L52" s="55" t="n">
        <f aca="false">L47</f>
        <v>0</v>
      </c>
      <c r="M52" s="55" t="n">
        <f aca="false">M47</f>
        <v>0</v>
      </c>
      <c r="N52" s="66" t="n">
        <f aca="false">SUM(B52:M52)</f>
        <v>450</v>
      </c>
    </row>
    <row r="53" customFormat="false" ht="15" hidden="false" customHeight="false" outlineLevel="0" collapsed="false">
      <c r="A53" s="65" t="s">
        <v>103</v>
      </c>
      <c r="B53" s="67" t="n">
        <f aca="false">B50-B51-B52</f>
        <v>4441.53</v>
      </c>
      <c r="C53" s="67" t="n">
        <f aca="false">C50-C51-C52</f>
        <v>0</v>
      </c>
      <c r="D53" s="67" t="n">
        <f aca="false">D50-D51-D52</f>
        <v>0</v>
      </c>
      <c r="E53" s="67" t="n">
        <f aca="false">E50-E51-E52</f>
        <v>0</v>
      </c>
      <c r="F53" s="67" t="n">
        <f aca="false">F50-F51-F52</f>
        <v>0</v>
      </c>
      <c r="G53" s="67" t="n">
        <f aca="false">G50-G51-G52</f>
        <v>0</v>
      </c>
      <c r="H53" s="67" t="n">
        <f aca="false">H50-H51-H52</f>
        <v>0</v>
      </c>
      <c r="I53" s="67" t="n">
        <f aca="false">I50-I51-I52</f>
        <v>0</v>
      </c>
      <c r="J53" s="67" t="n">
        <f aca="false">J50-J51-J52</f>
        <v>0</v>
      </c>
      <c r="K53" s="67" t="n">
        <f aca="false">K50-K51-K52</f>
        <v>0</v>
      </c>
      <c r="L53" s="67" t="n">
        <f aca="false">L50-L51-L52</f>
        <v>0</v>
      </c>
      <c r="M53" s="67" t="n">
        <f aca="false">M50-M51-M52</f>
        <v>0</v>
      </c>
      <c r="N53" s="68" t="n">
        <f aca="false">SUM(B53:M53)</f>
        <v>4441.53</v>
      </c>
    </row>
  </sheetData>
  <mergeCells count="7">
    <mergeCell ref="A1:P1"/>
    <mergeCell ref="A2:P2"/>
    <mergeCell ref="A5:P5"/>
    <mergeCell ref="A14:P14"/>
    <mergeCell ref="A25:P25"/>
    <mergeCell ref="A40:P40"/>
    <mergeCell ref="A49:P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441"/>
    <pageSetUpPr fitToPage="true"/>
  </sheetPr>
  <dimension ref="A1:H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26"/>
  </cols>
  <sheetData>
    <row r="1" customFormat="false" ht="30" hidden="false" customHeight="true" outlineLevel="0" collapsed="false">
      <c r="A1" s="69" t="s">
        <v>104</v>
      </c>
      <c r="B1" s="69"/>
      <c r="C1" s="69"/>
      <c r="D1" s="69"/>
      <c r="E1" s="69"/>
      <c r="F1" s="69"/>
      <c r="G1" s="69"/>
      <c r="H1" s="69"/>
    </row>
    <row r="2" customFormat="false" ht="15" hidden="false" customHeight="false" outlineLevel="0" collapsed="false">
      <c r="A2" s="70" t="s">
        <v>105</v>
      </c>
      <c r="B2" s="70"/>
      <c r="C2" s="70"/>
      <c r="D2" s="70"/>
      <c r="E2" s="70"/>
      <c r="F2" s="70"/>
      <c r="G2" s="70"/>
      <c r="H2" s="70"/>
    </row>
    <row r="3" customFormat="false" ht="19.5" hidden="false" customHeight="true" outlineLevel="0" collapsed="false">
      <c r="A3" s="71" t="s">
        <v>106</v>
      </c>
      <c r="B3" s="71" t="s">
        <v>107</v>
      </c>
      <c r="C3" s="71" t="s">
        <v>34</v>
      </c>
      <c r="D3" s="71" t="s">
        <v>108</v>
      </c>
      <c r="E3" s="71" t="s">
        <v>109</v>
      </c>
      <c r="F3" s="71" t="s">
        <v>110</v>
      </c>
      <c r="G3" s="71" t="s">
        <v>111</v>
      </c>
      <c r="H3" s="71" t="s">
        <v>112</v>
      </c>
    </row>
    <row r="4" customFormat="false" ht="15" hidden="false" customHeight="false" outlineLevel="0" collapsed="false">
      <c r="A4" s="72" t="n">
        <v>46023</v>
      </c>
      <c r="B4" s="73" t="s">
        <v>113</v>
      </c>
      <c r="C4" s="73" t="s">
        <v>62</v>
      </c>
      <c r="D4" s="74" t="str">
        <f aca="false">IFERROR(INDEX(Categories!$B$2:$B$33,MATCH(C4,Categories!$A$2:$A$33,0)),"")</f>
        <v>Income</v>
      </c>
      <c r="E4" s="75" t="n">
        <v>3200</v>
      </c>
      <c r="F4" s="74" t="n">
        <f aca="false">IF(A4="","",MONTH(A4))</f>
        <v>1</v>
      </c>
      <c r="G4" s="73" t="s">
        <v>114</v>
      </c>
      <c r="H4" s="73"/>
    </row>
    <row r="5" customFormat="false" ht="15" hidden="false" customHeight="false" outlineLevel="0" collapsed="false">
      <c r="A5" s="76" t="n">
        <v>46025</v>
      </c>
      <c r="B5" s="77" t="s">
        <v>115</v>
      </c>
      <c r="C5" s="77" t="s">
        <v>36</v>
      </c>
      <c r="D5" s="78" t="str">
        <f aca="false">IFERROR(INDEX(Categories!$B$2:$B$33,MATCH(C5,Categories!$A$2:$A$33,0)),"")</f>
        <v>Fixed Expense</v>
      </c>
      <c r="E5" s="79" t="n">
        <v>1450</v>
      </c>
      <c r="F5" s="78" t="n">
        <f aca="false">IF(A5="","",MONTH(A5))</f>
        <v>1</v>
      </c>
      <c r="G5" s="77" t="s">
        <v>116</v>
      </c>
      <c r="H5" s="77"/>
    </row>
    <row r="6" customFormat="false" ht="15" hidden="false" customHeight="false" outlineLevel="0" collapsed="false">
      <c r="A6" s="72" t="n">
        <v>46026</v>
      </c>
      <c r="B6" s="73" t="s">
        <v>117</v>
      </c>
      <c r="C6" s="73" t="s">
        <v>37</v>
      </c>
      <c r="D6" s="74" t="str">
        <f aca="false">IFERROR(INDEX(Categories!$B$2:$B$33,MATCH(C6,Categories!$A$2:$A$33,0)),"")</f>
        <v>Fixed Expense</v>
      </c>
      <c r="E6" s="75" t="n">
        <v>165.32</v>
      </c>
      <c r="F6" s="74" t="n">
        <f aca="false">IF(A6="","",MONTH(A6))</f>
        <v>1</v>
      </c>
      <c r="G6" s="73" t="s">
        <v>118</v>
      </c>
      <c r="H6" s="73"/>
    </row>
    <row r="7" customFormat="false" ht="15" hidden="false" customHeight="false" outlineLevel="0" collapsed="false">
      <c r="A7" s="76" t="n">
        <v>46027</v>
      </c>
      <c r="B7" s="77" t="s">
        <v>119</v>
      </c>
      <c r="C7" s="77" t="s">
        <v>44</v>
      </c>
      <c r="D7" s="78" t="str">
        <f aca="false">IFERROR(INDEX(Categories!$B$2:$B$33,MATCH(C7,Categories!$A$2:$A$33,0)),"")</f>
        <v>Variable Expense</v>
      </c>
      <c r="E7" s="79" t="n">
        <v>98.47</v>
      </c>
      <c r="F7" s="78" t="n">
        <f aca="false">IF(A7="","",MONTH(A7))</f>
        <v>1</v>
      </c>
      <c r="G7" s="77" t="s">
        <v>120</v>
      </c>
      <c r="H7" s="77"/>
    </row>
    <row r="8" customFormat="false" ht="15" hidden="false" customHeight="false" outlineLevel="0" collapsed="false">
      <c r="A8" s="72" t="n">
        <v>46029</v>
      </c>
      <c r="B8" s="73" t="s">
        <v>121</v>
      </c>
      <c r="C8" s="73" t="s">
        <v>41</v>
      </c>
      <c r="D8" s="74" t="str">
        <f aca="false">IFERROR(INDEX(Categories!$B$2:$B$33,MATCH(C8,Categories!$A$2:$A$33,0)),"")</f>
        <v>Fixed Expense</v>
      </c>
      <c r="E8" s="75" t="n">
        <v>24.98</v>
      </c>
      <c r="F8" s="74" t="n">
        <f aca="false">IF(A8="","",MONTH(A8))</f>
        <v>1</v>
      </c>
      <c r="G8" s="73" t="s">
        <v>120</v>
      </c>
      <c r="H8" s="73"/>
    </row>
    <row r="9" customFormat="false" ht="15" hidden="false" customHeight="false" outlineLevel="0" collapsed="false">
      <c r="A9" s="76" t="n">
        <v>46032</v>
      </c>
      <c r="B9" s="77" t="s">
        <v>122</v>
      </c>
      <c r="C9" s="77" t="s">
        <v>46</v>
      </c>
      <c r="D9" s="78" t="str">
        <f aca="false">IFERROR(INDEX(Categories!$B$2:$B$33,MATCH(C9,Categories!$A$2:$A$33,0)),"")</f>
        <v>Variable Expense</v>
      </c>
      <c r="E9" s="79" t="n">
        <v>45</v>
      </c>
      <c r="F9" s="78" t="n">
        <f aca="false">IF(A9="","",MONTH(A9))</f>
        <v>1</v>
      </c>
      <c r="G9" s="77" t="s">
        <v>118</v>
      </c>
      <c r="H9" s="77"/>
    </row>
    <row r="10" customFormat="false" ht="15" hidden="false" customHeight="false" outlineLevel="0" collapsed="false">
      <c r="A10" s="72" t="n">
        <v>46034</v>
      </c>
      <c r="B10" s="73" t="s">
        <v>123</v>
      </c>
      <c r="C10" s="73" t="s">
        <v>45</v>
      </c>
      <c r="D10" s="74" t="str">
        <f aca="false">IFERROR(INDEX(Categories!$B$2:$B$33,MATCH(C10,Categories!$A$2:$A$33,0)),"")</f>
        <v>Variable Expense</v>
      </c>
      <c r="E10" s="75" t="n">
        <v>62.1</v>
      </c>
      <c r="F10" s="74" t="n">
        <f aca="false">IF(A10="","",MONTH(A10))</f>
        <v>1</v>
      </c>
      <c r="G10" s="73" t="s">
        <v>120</v>
      </c>
      <c r="H10" s="73"/>
    </row>
    <row r="11" customFormat="false" ht="15" hidden="false" customHeight="false" outlineLevel="0" collapsed="false">
      <c r="A11" s="76" t="n">
        <v>46037</v>
      </c>
      <c r="B11" s="77" t="s">
        <v>113</v>
      </c>
      <c r="C11" s="77" t="s">
        <v>62</v>
      </c>
      <c r="D11" s="78" t="str">
        <f aca="false">IFERROR(INDEX(Categories!$B$2:$B$33,MATCH(C11,Categories!$A$2:$A$33,0)),"")</f>
        <v>Income</v>
      </c>
      <c r="E11" s="79" t="n">
        <v>3200</v>
      </c>
      <c r="F11" s="78" t="n">
        <f aca="false">IF(A11="","",MONTH(A11))</f>
        <v>1</v>
      </c>
      <c r="G11" s="77" t="s">
        <v>114</v>
      </c>
      <c r="H11" s="77"/>
    </row>
    <row r="12" customFormat="false" ht="15" hidden="false" customHeight="false" outlineLevel="0" collapsed="false">
      <c r="A12" s="72" t="n">
        <v>46037</v>
      </c>
      <c r="B12" s="73" t="s">
        <v>124</v>
      </c>
      <c r="C12" s="73" t="s">
        <v>74</v>
      </c>
      <c r="D12" s="74" t="str">
        <f aca="false">IFERROR(INDEX(Categories!$B$2:$B$33,MATCH(C12,Categories!$A$2:$A$33,0)),"")</f>
        <v>Savings &amp; Debt</v>
      </c>
      <c r="E12" s="75" t="n">
        <v>300</v>
      </c>
      <c r="F12" s="74" t="n">
        <f aca="false">IF(A12="","",MONTH(A12))</f>
        <v>1</v>
      </c>
      <c r="G12" s="73" t="s">
        <v>116</v>
      </c>
      <c r="H12" s="73"/>
    </row>
    <row r="13" customFormat="false" ht="15" hidden="false" customHeight="false" outlineLevel="0" collapsed="false">
      <c r="A13" s="76" t="n">
        <v>46040</v>
      </c>
      <c r="B13" s="77" t="s">
        <v>125</v>
      </c>
      <c r="C13" s="77" t="s">
        <v>77</v>
      </c>
      <c r="D13" s="78" t="str">
        <f aca="false">IFERROR(INDEX(Categories!$B$2:$B$33,MATCH(C13,Categories!$A$2:$A$33,0)),"")</f>
        <v>Savings &amp; Debt</v>
      </c>
      <c r="E13" s="79" t="n">
        <v>150</v>
      </c>
      <c r="F13" s="78" t="n">
        <f aca="false">IF(A13="","",MONTH(A13))</f>
        <v>1</v>
      </c>
      <c r="G13" s="77" t="s">
        <v>116</v>
      </c>
      <c r="H13" s="77"/>
    </row>
    <row r="14" customFormat="false" ht="15" hidden="false" customHeight="false" outlineLevel="0" collapsed="false">
      <c r="A14" s="72" t="n">
        <v>46044</v>
      </c>
      <c r="B14" s="73" t="s">
        <v>126</v>
      </c>
      <c r="C14" s="73" t="s">
        <v>63</v>
      </c>
      <c r="D14" s="74" t="str">
        <f aca="false">IFERROR(INDEX(Categories!$B$2:$B$33,MATCH(C14,Categories!$A$2:$A$33,0)),"")</f>
        <v>Income</v>
      </c>
      <c r="E14" s="75" t="n">
        <v>450</v>
      </c>
      <c r="F14" s="74" t="n">
        <f aca="false">IF(A14="","",MONTH(A14))</f>
        <v>1</v>
      </c>
      <c r="G14" s="73" t="s">
        <v>127</v>
      </c>
      <c r="H14" s="73"/>
    </row>
    <row r="15" customFormat="false" ht="15" hidden="false" customHeight="false" outlineLevel="0" collapsed="false">
      <c r="A15" s="76" t="n">
        <v>46049</v>
      </c>
      <c r="B15" s="77" t="s">
        <v>128</v>
      </c>
      <c r="C15" s="77" t="s">
        <v>44</v>
      </c>
      <c r="D15" s="78" t="str">
        <f aca="false">IFERROR(INDEX(Categories!$B$2:$B$33,MATCH(C15,Categories!$A$2:$A$33,0)),"")</f>
        <v>Variable Expense</v>
      </c>
      <c r="E15" s="79" t="n">
        <v>112.6</v>
      </c>
      <c r="F15" s="78" t="n">
        <f aca="false">IF(A15="","",MONTH(A15))</f>
        <v>1</v>
      </c>
      <c r="G15" s="77" t="s">
        <v>120</v>
      </c>
      <c r="H15" s="77"/>
    </row>
    <row r="16" customFormat="false" ht="15" hidden="false" customHeight="false" outlineLevel="0" collapsed="false">
      <c r="A16" s="72"/>
      <c r="B16" s="73"/>
      <c r="C16" s="73"/>
      <c r="D16" s="74" t="str">
        <f aca="false">IFERROR(INDEX(Categories!$B$2:$B$33,MATCH(C16,Categories!$A$2:$A$33,0)),"")</f>
        <v/>
      </c>
      <c r="E16" s="75"/>
      <c r="F16" s="74" t="str">
        <f aca="false">IF(A16="","",MONTH(A16))</f>
        <v/>
      </c>
      <c r="G16" s="73"/>
      <c r="H16" s="73"/>
    </row>
    <row r="17" customFormat="false" ht="15" hidden="false" customHeight="false" outlineLevel="0" collapsed="false">
      <c r="A17" s="76"/>
      <c r="B17" s="77"/>
      <c r="C17" s="77"/>
      <c r="D17" s="78" t="str">
        <f aca="false">IFERROR(INDEX(Categories!$B$2:$B$33,MATCH(C17,Categories!$A$2:$A$33,0)),"")</f>
        <v/>
      </c>
      <c r="E17" s="79"/>
      <c r="F17" s="78" t="str">
        <f aca="false">IF(A17="","",MONTH(A17))</f>
        <v/>
      </c>
      <c r="G17" s="77"/>
      <c r="H17" s="77"/>
    </row>
    <row r="18" customFormat="false" ht="15" hidden="false" customHeight="false" outlineLevel="0" collapsed="false">
      <c r="A18" s="72"/>
      <c r="B18" s="73"/>
      <c r="C18" s="73"/>
      <c r="D18" s="74" t="str">
        <f aca="false">IFERROR(INDEX(Categories!$B$2:$B$33,MATCH(C18,Categories!$A$2:$A$33,0)),"")</f>
        <v/>
      </c>
      <c r="E18" s="75"/>
      <c r="F18" s="74" t="str">
        <f aca="false">IF(A18="","",MONTH(A18))</f>
        <v/>
      </c>
      <c r="G18" s="73"/>
      <c r="H18" s="73"/>
    </row>
    <row r="19" customFormat="false" ht="15" hidden="false" customHeight="false" outlineLevel="0" collapsed="false">
      <c r="A19" s="76"/>
      <c r="B19" s="77"/>
      <c r="C19" s="77"/>
      <c r="D19" s="78" t="str">
        <f aca="false">IFERROR(INDEX(Categories!$B$2:$B$33,MATCH(C19,Categories!$A$2:$A$33,0)),"")</f>
        <v/>
      </c>
      <c r="E19" s="79"/>
      <c r="F19" s="78" t="str">
        <f aca="false">IF(A19="","",MONTH(A19))</f>
        <v/>
      </c>
      <c r="G19" s="77"/>
      <c r="H19" s="77"/>
    </row>
    <row r="20" customFormat="false" ht="15" hidden="false" customHeight="false" outlineLevel="0" collapsed="false">
      <c r="A20" s="72"/>
      <c r="B20" s="73"/>
      <c r="C20" s="73"/>
      <c r="D20" s="74" t="str">
        <f aca="false">IFERROR(INDEX(Categories!$B$2:$B$33,MATCH(C20,Categories!$A$2:$A$33,0)),"")</f>
        <v/>
      </c>
      <c r="E20" s="75"/>
      <c r="F20" s="74" t="str">
        <f aca="false">IF(A20="","",MONTH(A20))</f>
        <v/>
      </c>
      <c r="G20" s="73"/>
      <c r="H20" s="73"/>
    </row>
    <row r="21" customFormat="false" ht="15" hidden="false" customHeight="false" outlineLevel="0" collapsed="false">
      <c r="A21" s="76"/>
      <c r="B21" s="77"/>
      <c r="C21" s="77"/>
      <c r="D21" s="78" t="str">
        <f aca="false">IFERROR(INDEX(Categories!$B$2:$B$33,MATCH(C21,Categories!$A$2:$A$33,0)),"")</f>
        <v/>
      </c>
      <c r="E21" s="79"/>
      <c r="F21" s="78" t="str">
        <f aca="false">IF(A21="","",MONTH(A21))</f>
        <v/>
      </c>
      <c r="G21" s="77"/>
      <c r="H21" s="77"/>
    </row>
    <row r="22" customFormat="false" ht="15" hidden="false" customHeight="false" outlineLevel="0" collapsed="false">
      <c r="A22" s="72"/>
      <c r="B22" s="73"/>
      <c r="C22" s="73"/>
      <c r="D22" s="74" t="str">
        <f aca="false">IFERROR(INDEX(Categories!$B$2:$B$33,MATCH(C22,Categories!$A$2:$A$33,0)),"")</f>
        <v/>
      </c>
      <c r="E22" s="75"/>
      <c r="F22" s="74" t="str">
        <f aca="false">IF(A22="","",MONTH(A22))</f>
        <v/>
      </c>
      <c r="G22" s="73"/>
      <c r="H22" s="73"/>
    </row>
    <row r="23" customFormat="false" ht="15" hidden="false" customHeight="false" outlineLevel="0" collapsed="false">
      <c r="A23" s="76"/>
      <c r="B23" s="77"/>
      <c r="C23" s="77"/>
      <c r="D23" s="78" t="str">
        <f aca="false">IFERROR(INDEX(Categories!$B$2:$B$33,MATCH(C23,Categories!$A$2:$A$33,0)),"")</f>
        <v/>
      </c>
      <c r="E23" s="79"/>
      <c r="F23" s="78" t="str">
        <f aca="false">IF(A23="","",MONTH(A23))</f>
        <v/>
      </c>
      <c r="G23" s="77"/>
      <c r="H23" s="77"/>
    </row>
    <row r="24" customFormat="false" ht="15" hidden="false" customHeight="false" outlineLevel="0" collapsed="false">
      <c r="A24" s="72"/>
      <c r="B24" s="73"/>
      <c r="C24" s="73"/>
      <c r="D24" s="74" t="str">
        <f aca="false">IFERROR(INDEX(Categories!$B$2:$B$33,MATCH(C24,Categories!$A$2:$A$33,0)),"")</f>
        <v/>
      </c>
      <c r="E24" s="75"/>
      <c r="F24" s="74" t="str">
        <f aca="false">IF(A24="","",MONTH(A24))</f>
        <v/>
      </c>
      <c r="G24" s="73"/>
      <c r="H24" s="73"/>
    </row>
    <row r="25" customFormat="false" ht="15" hidden="false" customHeight="false" outlineLevel="0" collapsed="false">
      <c r="A25" s="76"/>
      <c r="B25" s="77"/>
      <c r="C25" s="77"/>
      <c r="D25" s="78" t="str">
        <f aca="false">IFERROR(INDEX(Categories!$B$2:$B$33,MATCH(C25,Categories!$A$2:$A$33,0)),"")</f>
        <v/>
      </c>
      <c r="E25" s="79"/>
      <c r="F25" s="78" t="str">
        <f aca="false">IF(A25="","",MONTH(A25))</f>
        <v/>
      </c>
      <c r="G25" s="77"/>
      <c r="H25" s="77"/>
    </row>
    <row r="26" customFormat="false" ht="15" hidden="false" customHeight="false" outlineLevel="0" collapsed="false">
      <c r="A26" s="72"/>
      <c r="B26" s="73"/>
      <c r="C26" s="73"/>
      <c r="D26" s="74" t="str">
        <f aca="false">IFERROR(INDEX(Categories!$B$2:$B$33,MATCH(C26,Categories!$A$2:$A$33,0)),"")</f>
        <v/>
      </c>
      <c r="E26" s="75"/>
      <c r="F26" s="74" t="str">
        <f aca="false">IF(A26="","",MONTH(A26))</f>
        <v/>
      </c>
      <c r="G26" s="73"/>
      <c r="H26" s="73"/>
    </row>
    <row r="27" customFormat="false" ht="15" hidden="false" customHeight="false" outlineLevel="0" collapsed="false">
      <c r="A27" s="76"/>
      <c r="B27" s="77"/>
      <c r="C27" s="77"/>
      <c r="D27" s="78" t="str">
        <f aca="false">IFERROR(INDEX(Categories!$B$2:$B$33,MATCH(C27,Categories!$A$2:$A$33,0)),"")</f>
        <v/>
      </c>
      <c r="E27" s="79"/>
      <c r="F27" s="78" t="str">
        <f aca="false">IF(A27="","",MONTH(A27))</f>
        <v/>
      </c>
      <c r="G27" s="77"/>
      <c r="H27" s="77"/>
    </row>
    <row r="28" customFormat="false" ht="15" hidden="false" customHeight="false" outlineLevel="0" collapsed="false">
      <c r="A28" s="72"/>
      <c r="B28" s="73"/>
      <c r="C28" s="73"/>
      <c r="D28" s="74" t="str">
        <f aca="false">IFERROR(INDEX(Categories!$B$2:$B$33,MATCH(C28,Categories!$A$2:$A$33,0)),"")</f>
        <v/>
      </c>
      <c r="E28" s="75"/>
      <c r="F28" s="74" t="str">
        <f aca="false">IF(A28="","",MONTH(A28))</f>
        <v/>
      </c>
      <c r="G28" s="73"/>
      <c r="H28" s="73"/>
    </row>
    <row r="29" customFormat="false" ht="15" hidden="false" customHeight="false" outlineLevel="0" collapsed="false">
      <c r="A29" s="76"/>
      <c r="B29" s="77"/>
      <c r="C29" s="77"/>
      <c r="D29" s="78" t="str">
        <f aca="false">IFERROR(INDEX(Categories!$B$2:$B$33,MATCH(C29,Categories!$A$2:$A$33,0)),"")</f>
        <v/>
      </c>
      <c r="E29" s="79"/>
      <c r="F29" s="78" t="str">
        <f aca="false">IF(A29="","",MONTH(A29))</f>
        <v/>
      </c>
      <c r="G29" s="77"/>
      <c r="H29" s="77"/>
    </row>
    <row r="30" customFormat="false" ht="15" hidden="false" customHeight="false" outlineLevel="0" collapsed="false">
      <c r="A30" s="72"/>
      <c r="B30" s="73"/>
      <c r="C30" s="73"/>
      <c r="D30" s="74" t="str">
        <f aca="false">IFERROR(INDEX(Categories!$B$2:$B$33,MATCH(C30,Categories!$A$2:$A$33,0)),"")</f>
        <v/>
      </c>
      <c r="E30" s="75"/>
      <c r="F30" s="74" t="str">
        <f aca="false">IF(A30="","",MONTH(A30))</f>
        <v/>
      </c>
      <c r="G30" s="73"/>
      <c r="H30" s="73"/>
    </row>
    <row r="31" customFormat="false" ht="15" hidden="false" customHeight="false" outlineLevel="0" collapsed="false">
      <c r="A31" s="76"/>
      <c r="B31" s="77"/>
      <c r="C31" s="77"/>
      <c r="D31" s="78" t="str">
        <f aca="false">IFERROR(INDEX(Categories!$B$2:$B$33,MATCH(C31,Categories!$A$2:$A$33,0)),"")</f>
        <v/>
      </c>
      <c r="E31" s="79"/>
      <c r="F31" s="78" t="str">
        <f aca="false">IF(A31="","",MONTH(A31))</f>
        <v/>
      </c>
      <c r="G31" s="77"/>
      <c r="H31" s="77"/>
    </row>
    <row r="32" customFormat="false" ht="15" hidden="false" customHeight="false" outlineLevel="0" collapsed="false">
      <c r="A32" s="72"/>
      <c r="B32" s="73"/>
      <c r="C32" s="73"/>
      <c r="D32" s="74" t="str">
        <f aca="false">IFERROR(INDEX(Categories!$B$2:$B$33,MATCH(C32,Categories!$A$2:$A$33,0)),"")</f>
        <v/>
      </c>
      <c r="E32" s="75"/>
      <c r="F32" s="74" t="str">
        <f aca="false">IF(A32="","",MONTH(A32))</f>
        <v/>
      </c>
      <c r="G32" s="73"/>
      <c r="H32" s="73"/>
    </row>
    <row r="33" customFormat="false" ht="15" hidden="false" customHeight="false" outlineLevel="0" collapsed="false">
      <c r="A33" s="76"/>
      <c r="B33" s="77"/>
      <c r="C33" s="77"/>
      <c r="D33" s="78" t="str">
        <f aca="false">IFERROR(INDEX(Categories!$B$2:$B$33,MATCH(C33,Categories!$A$2:$A$33,0)),"")</f>
        <v/>
      </c>
      <c r="E33" s="79"/>
      <c r="F33" s="78" t="str">
        <f aca="false">IF(A33="","",MONTH(A33))</f>
        <v/>
      </c>
      <c r="G33" s="77"/>
      <c r="H33" s="77"/>
    </row>
    <row r="34" customFormat="false" ht="15" hidden="false" customHeight="false" outlineLevel="0" collapsed="false">
      <c r="A34" s="72"/>
      <c r="B34" s="73"/>
      <c r="C34" s="73"/>
      <c r="D34" s="74" t="str">
        <f aca="false">IFERROR(INDEX(Categories!$B$2:$B$33,MATCH(C34,Categories!$A$2:$A$33,0)),"")</f>
        <v/>
      </c>
      <c r="E34" s="75"/>
      <c r="F34" s="74" t="str">
        <f aca="false">IF(A34="","",MONTH(A34))</f>
        <v/>
      </c>
      <c r="G34" s="73"/>
      <c r="H34" s="73"/>
    </row>
    <row r="35" customFormat="false" ht="15" hidden="false" customHeight="false" outlineLevel="0" collapsed="false">
      <c r="A35" s="76"/>
      <c r="B35" s="77"/>
      <c r="C35" s="77"/>
      <c r="D35" s="78" t="str">
        <f aca="false">IFERROR(INDEX(Categories!$B$2:$B$33,MATCH(C35,Categories!$A$2:$A$33,0)),"")</f>
        <v/>
      </c>
      <c r="E35" s="79"/>
      <c r="F35" s="78" t="str">
        <f aca="false">IF(A35="","",MONTH(A35))</f>
        <v/>
      </c>
      <c r="G35" s="77"/>
      <c r="H35" s="77"/>
    </row>
    <row r="36" customFormat="false" ht="15" hidden="false" customHeight="false" outlineLevel="0" collapsed="false">
      <c r="A36" s="72"/>
      <c r="B36" s="73"/>
      <c r="C36" s="73"/>
      <c r="D36" s="74" t="str">
        <f aca="false">IFERROR(INDEX(Categories!$B$2:$B$33,MATCH(C36,Categories!$A$2:$A$33,0)),"")</f>
        <v/>
      </c>
      <c r="E36" s="75"/>
      <c r="F36" s="74" t="str">
        <f aca="false">IF(A36="","",MONTH(A36))</f>
        <v/>
      </c>
      <c r="G36" s="73"/>
      <c r="H36" s="73"/>
    </row>
    <row r="37" customFormat="false" ht="15" hidden="false" customHeight="false" outlineLevel="0" collapsed="false">
      <c r="A37" s="76"/>
      <c r="B37" s="77"/>
      <c r="C37" s="77"/>
      <c r="D37" s="78" t="str">
        <f aca="false">IFERROR(INDEX(Categories!$B$2:$B$33,MATCH(C37,Categories!$A$2:$A$33,0)),"")</f>
        <v/>
      </c>
      <c r="E37" s="79"/>
      <c r="F37" s="78" t="str">
        <f aca="false">IF(A37="","",MONTH(A37))</f>
        <v/>
      </c>
      <c r="G37" s="77"/>
      <c r="H37" s="77"/>
    </row>
    <row r="38" customFormat="false" ht="15" hidden="false" customHeight="false" outlineLevel="0" collapsed="false">
      <c r="A38" s="72"/>
      <c r="B38" s="73"/>
      <c r="C38" s="73"/>
      <c r="D38" s="74" t="str">
        <f aca="false">IFERROR(INDEX(Categories!$B$2:$B$33,MATCH(C38,Categories!$A$2:$A$33,0)),"")</f>
        <v/>
      </c>
      <c r="E38" s="75"/>
      <c r="F38" s="74" t="str">
        <f aca="false">IF(A38="","",MONTH(A38))</f>
        <v/>
      </c>
      <c r="G38" s="73"/>
      <c r="H38" s="73"/>
    </row>
    <row r="39" customFormat="false" ht="15" hidden="false" customHeight="false" outlineLevel="0" collapsed="false">
      <c r="A39" s="76"/>
      <c r="B39" s="77"/>
      <c r="C39" s="77"/>
      <c r="D39" s="78" t="str">
        <f aca="false">IFERROR(INDEX(Categories!$B$2:$B$33,MATCH(C39,Categories!$A$2:$A$33,0)),"")</f>
        <v/>
      </c>
      <c r="E39" s="79"/>
      <c r="F39" s="78" t="str">
        <f aca="false">IF(A39="","",MONTH(A39))</f>
        <v/>
      </c>
      <c r="G39" s="77"/>
      <c r="H39" s="77"/>
    </row>
    <row r="40" customFormat="false" ht="15" hidden="false" customHeight="false" outlineLevel="0" collapsed="false">
      <c r="A40" s="72"/>
      <c r="B40" s="73"/>
      <c r="C40" s="73"/>
      <c r="D40" s="74" t="str">
        <f aca="false">IFERROR(INDEX(Categories!$B$2:$B$33,MATCH(C40,Categories!$A$2:$A$33,0)),"")</f>
        <v/>
      </c>
      <c r="E40" s="75"/>
      <c r="F40" s="74" t="str">
        <f aca="false">IF(A40="","",MONTH(A40))</f>
        <v/>
      </c>
      <c r="G40" s="73"/>
      <c r="H40" s="73"/>
    </row>
    <row r="41" customFormat="false" ht="15" hidden="false" customHeight="false" outlineLevel="0" collapsed="false">
      <c r="A41" s="76"/>
      <c r="B41" s="77"/>
      <c r="C41" s="77"/>
      <c r="D41" s="78" t="str">
        <f aca="false">IFERROR(INDEX(Categories!$B$2:$B$33,MATCH(C41,Categories!$A$2:$A$33,0)),"")</f>
        <v/>
      </c>
      <c r="E41" s="79"/>
      <c r="F41" s="78" t="str">
        <f aca="false">IF(A41="","",MONTH(A41))</f>
        <v/>
      </c>
      <c r="G41" s="77"/>
      <c r="H41" s="77"/>
    </row>
    <row r="42" customFormat="false" ht="15" hidden="false" customHeight="false" outlineLevel="0" collapsed="false">
      <c r="A42" s="72"/>
      <c r="B42" s="73"/>
      <c r="C42" s="73"/>
      <c r="D42" s="74" t="str">
        <f aca="false">IFERROR(INDEX(Categories!$B$2:$B$33,MATCH(C42,Categories!$A$2:$A$33,0)),"")</f>
        <v/>
      </c>
      <c r="E42" s="75"/>
      <c r="F42" s="74" t="str">
        <f aca="false">IF(A42="","",MONTH(A42))</f>
        <v/>
      </c>
      <c r="G42" s="73"/>
      <c r="H42" s="73"/>
    </row>
    <row r="43" customFormat="false" ht="15" hidden="false" customHeight="false" outlineLevel="0" collapsed="false">
      <c r="A43" s="76"/>
      <c r="B43" s="77"/>
      <c r="C43" s="77"/>
      <c r="D43" s="78" t="str">
        <f aca="false">IFERROR(INDEX(Categories!$B$2:$B$33,MATCH(C43,Categories!$A$2:$A$33,0)),"")</f>
        <v/>
      </c>
      <c r="E43" s="79"/>
      <c r="F43" s="78" t="str">
        <f aca="false">IF(A43="","",MONTH(A43))</f>
        <v/>
      </c>
      <c r="G43" s="77"/>
      <c r="H43" s="77"/>
    </row>
    <row r="44" customFormat="false" ht="15" hidden="false" customHeight="false" outlineLevel="0" collapsed="false">
      <c r="A44" s="72"/>
      <c r="B44" s="73"/>
      <c r="C44" s="73"/>
      <c r="D44" s="74" t="str">
        <f aca="false">IFERROR(INDEX(Categories!$B$2:$B$33,MATCH(C44,Categories!$A$2:$A$33,0)),"")</f>
        <v/>
      </c>
      <c r="E44" s="75"/>
      <c r="F44" s="74" t="str">
        <f aca="false">IF(A44="","",MONTH(A44))</f>
        <v/>
      </c>
      <c r="G44" s="73"/>
      <c r="H44" s="73"/>
    </row>
    <row r="45" customFormat="false" ht="15" hidden="false" customHeight="false" outlineLevel="0" collapsed="false">
      <c r="A45" s="76"/>
      <c r="B45" s="77"/>
      <c r="C45" s="77"/>
      <c r="D45" s="78" t="str">
        <f aca="false">IFERROR(INDEX(Categories!$B$2:$B$33,MATCH(C45,Categories!$A$2:$A$33,0)),"")</f>
        <v/>
      </c>
      <c r="E45" s="79"/>
      <c r="F45" s="78" t="str">
        <f aca="false">IF(A45="","",MONTH(A45))</f>
        <v/>
      </c>
      <c r="G45" s="77"/>
      <c r="H45" s="77"/>
    </row>
    <row r="46" customFormat="false" ht="15" hidden="false" customHeight="false" outlineLevel="0" collapsed="false">
      <c r="A46" s="72"/>
      <c r="B46" s="73"/>
      <c r="C46" s="73"/>
      <c r="D46" s="74" t="str">
        <f aca="false">IFERROR(INDEX(Categories!$B$2:$B$33,MATCH(C46,Categories!$A$2:$A$33,0)),"")</f>
        <v/>
      </c>
      <c r="E46" s="75"/>
      <c r="F46" s="74" t="str">
        <f aca="false">IF(A46="","",MONTH(A46))</f>
        <v/>
      </c>
      <c r="G46" s="73"/>
      <c r="H46" s="73"/>
    </row>
    <row r="47" customFormat="false" ht="15" hidden="false" customHeight="false" outlineLevel="0" collapsed="false">
      <c r="A47" s="76"/>
      <c r="B47" s="77"/>
      <c r="C47" s="77"/>
      <c r="D47" s="78" t="str">
        <f aca="false">IFERROR(INDEX(Categories!$B$2:$B$33,MATCH(C47,Categories!$A$2:$A$33,0)),"")</f>
        <v/>
      </c>
      <c r="E47" s="79"/>
      <c r="F47" s="78" t="str">
        <f aca="false">IF(A47="","",MONTH(A47))</f>
        <v/>
      </c>
      <c r="G47" s="77"/>
      <c r="H47" s="77"/>
    </row>
    <row r="48" customFormat="false" ht="15" hidden="false" customHeight="false" outlineLevel="0" collapsed="false">
      <c r="A48" s="72"/>
      <c r="B48" s="73"/>
      <c r="C48" s="73"/>
      <c r="D48" s="74" t="str">
        <f aca="false">IFERROR(INDEX(Categories!$B$2:$B$33,MATCH(C48,Categories!$A$2:$A$33,0)),"")</f>
        <v/>
      </c>
      <c r="E48" s="75"/>
      <c r="F48" s="74" t="str">
        <f aca="false">IF(A48="","",MONTH(A48))</f>
        <v/>
      </c>
      <c r="G48" s="73"/>
      <c r="H48" s="73"/>
    </row>
    <row r="49" customFormat="false" ht="15" hidden="false" customHeight="false" outlineLevel="0" collapsed="false">
      <c r="A49" s="76"/>
      <c r="B49" s="77"/>
      <c r="C49" s="77"/>
      <c r="D49" s="78" t="str">
        <f aca="false">IFERROR(INDEX(Categories!$B$2:$B$33,MATCH(C49,Categories!$A$2:$A$33,0)),"")</f>
        <v/>
      </c>
      <c r="E49" s="79"/>
      <c r="F49" s="78" t="str">
        <f aca="false">IF(A49="","",MONTH(A49))</f>
        <v/>
      </c>
      <c r="G49" s="77"/>
      <c r="H49" s="77"/>
    </row>
    <row r="50" customFormat="false" ht="15" hidden="false" customHeight="false" outlineLevel="0" collapsed="false">
      <c r="A50" s="72"/>
      <c r="B50" s="73"/>
      <c r="C50" s="73"/>
      <c r="D50" s="74" t="str">
        <f aca="false">IFERROR(INDEX(Categories!$B$2:$B$33,MATCH(C50,Categories!$A$2:$A$33,0)),"")</f>
        <v/>
      </c>
      <c r="E50" s="75"/>
      <c r="F50" s="74" t="str">
        <f aca="false">IF(A50="","",MONTH(A50))</f>
        <v/>
      </c>
      <c r="G50" s="73"/>
      <c r="H50" s="73"/>
    </row>
    <row r="51" customFormat="false" ht="15" hidden="false" customHeight="false" outlineLevel="0" collapsed="false">
      <c r="A51" s="76"/>
      <c r="B51" s="77"/>
      <c r="C51" s="77"/>
      <c r="D51" s="78" t="str">
        <f aca="false">IFERROR(INDEX(Categories!$B$2:$B$33,MATCH(C51,Categories!$A$2:$A$33,0)),"")</f>
        <v/>
      </c>
      <c r="E51" s="79"/>
      <c r="F51" s="78" t="str">
        <f aca="false">IF(A51="","",MONTH(A51))</f>
        <v/>
      </c>
      <c r="G51" s="77"/>
      <c r="H51" s="77"/>
    </row>
    <row r="52" customFormat="false" ht="15" hidden="false" customHeight="false" outlineLevel="0" collapsed="false">
      <c r="A52" s="72"/>
      <c r="B52" s="73"/>
      <c r="C52" s="73"/>
      <c r="D52" s="74" t="str">
        <f aca="false">IFERROR(INDEX(Categories!$B$2:$B$33,MATCH(C52,Categories!$A$2:$A$33,0)),"")</f>
        <v/>
      </c>
      <c r="E52" s="75"/>
      <c r="F52" s="74" t="str">
        <f aca="false">IF(A52="","",MONTH(A52))</f>
        <v/>
      </c>
      <c r="G52" s="73"/>
      <c r="H52" s="73"/>
    </row>
    <row r="53" customFormat="false" ht="15" hidden="false" customHeight="false" outlineLevel="0" collapsed="false">
      <c r="A53" s="76"/>
      <c r="B53" s="77"/>
      <c r="C53" s="77"/>
      <c r="D53" s="78" t="str">
        <f aca="false">IFERROR(INDEX(Categories!$B$2:$B$33,MATCH(C53,Categories!$A$2:$A$33,0)),"")</f>
        <v/>
      </c>
      <c r="E53" s="79"/>
      <c r="F53" s="78" t="str">
        <f aca="false">IF(A53="","",MONTH(A53))</f>
        <v/>
      </c>
      <c r="G53" s="77"/>
      <c r="H53" s="77"/>
    </row>
    <row r="54" customFormat="false" ht="15" hidden="false" customHeight="false" outlineLevel="0" collapsed="false">
      <c r="A54" s="72"/>
      <c r="B54" s="73"/>
      <c r="C54" s="73"/>
      <c r="D54" s="74" t="str">
        <f aca="false">IFERROR(INDEX(Categories!$B$2:$B$33,MATCH(C54,Categories!$A$2:$A$33,0)),"")</f>
        <v/>
      </c>
      <c r="E54" s="75"/>
      <c r="F54" s="74" t="str">
        <f aca="false">IF(A54="","",MONTH(A54))</f>
        <v/>
      </c>
      <c r="G54" s="73"/>
      <c r="H54" s="73"/>
    </row>
    <row r="55" customFormat="false" ht="15" hidden="false" customHeight="false" outlineLevel="0" collapsed="false">
      <c r="A55" s="76"/>
      <c r="B55" s="77"/>
      <c r="C55" s="77"/>
      <c r="D55" s="78" t="str">
        <f aca="false">IFERROR(INDEX(Categories!$B$2:$B$33,MATCH(C55,Categories!$A$2:$A$33,0)),"")</f>
        <v/>
      </c>
      <c r="E55" s="79"/>
      <c r="F55" s="78" t="str">
        <f aca="false">IF(A55="","",MONTH(A55))</f>
        <v/>
      </c>
      <c r="G55" s="77"/>
      <c r="H55" s="77"/>
    </row>
    <row r="56" customFormat="false" ht="15" hidden="false" customHeight="false" outlineLevel="0" collapsed="false">
      <c r="A56" s="72"/>
      <c r="B56" s="73"/>
      <c r="C56" s="73"/>
      <c r="D56" s="74" t="str">
        <f aca="false">IFERROR(INDEX(Categories!$B$2:$B$33,MATCH(C56,Categories!$A$2:$A$33,0)),"")</f>
        <v/>
      </c>
      <c r="E56" s="75"/>
      <c r="F56" s="74" t="str">
        <f aca="false">IF(A56="","",MONTH(A56))</f>
        <v/>
      </c>
      <c r="G56" s="73"/>
      <c r="H56" s="73"/>
    </row>
    <row r="57" customFormat="false" ht="15" hidden="false" customHeight="false" outlineLevel="0" collapsed="false">
      <c r="A57" s="76"/>
      <c r="B57" s="77"/>
      <c r="C57" s="77"/>
      <c r="D57" s="78" t="str">
        <f aca="false">IFERROR(INDEX(Categories!$B$2:$B$33,MATCH(C57,Categories!$A$2:$A$33,0)),"")</f>
        <v/>
      </c>
      <c r="E57" s="79"/>
      <c r="F57" s="78" t="str">
        <f aca="false">IF(A57="","",MONTH(A57))</f>
        <v/>
      </c>
      <c r="G57" s="77"/>
      <c r="H57" s="77"/>
    </row>
    <row r="58" customFormat="false" ht="15" hidden="false" customHeight="false" outlineLevel="0" collapsed="false">
      <c r="A58" s="72"/>
      <c r="B58" s="73"/>
      <c r="C58" s="73"/>
      <c r="D58" s="74" t="str">
        <f aca="false">IFERROR(INDEX(Categories!$B$2:$B$33,MATCH(C58,Categories!$A$2:$A$33,0)),"")</f>
        <v/>
      </c>
      <c r="E58" s="75"/>
      <c r="F58" s="74" t="str">
        <f aca="false">IF(A58="","",MONTH(A58))</f>
        <v/>
      </c>
      <c r="G58" s="73"/>
      <c r="H58" s="73"/>
    </row>
    <row r="59" customFormat="false" ht="15" hidden="false" customHeight="false" outlineLevel="0" collapsed="false">
      <c r="A59" s="76"/>
      <c r="B59" s="77"/>
      <c r="C59" s="77"/>
      <c r="D59" s="78" t="str">
        <f aca="false">IFERROR(INDEX(Categories!$B$2:$B$33,MATCH(C59,Categories!$A$2:$A$33,0)),"")</f>
        <v/>
      </c>
      <c r="E59" s="79"/>
      <c r="F59" s="78" t="str">
        <f aca="false">IF(A59="","",MONTH(A59))</f>
        <v/>
      </c>
      <c r="G59" s="77"/>
      <c r="H59" s="77"/>
    </row>
    <row r="60" customFormat="false" ht="15" hidden="false" customHeight="false" outlineLevel="0" collapsed="false">
      <c r="A60" s="72"/>
      <c r="B60" s="73"/>
      <c r="C60" s="73"/>
      <c r="D60" s="74" t="str">
        <f aca="false">IFERROR(INDEX(Categories!$B$2:$B$33,MATCH(C60,Categories!$A$2:$A$33,0)),"")</f>
        <v/>
      </c>
      <c r="E60" s="75"/>
      <c r="F60" s="74" t="str">
        <f aca="false">IF(A60="","",MONTH(A60))</f>
        <v/>
      </c>
      <c r="G60" s="73"/>
      <c r="H60" s="73"/>
    </row>
    <row r="61" customFormat="false" ht="15" hidden="false" customHeight="false" outlineLevel="0" collapsed="false">
      <c r="A61" s="76"/>
      <c r="B61" s="77"/>
      <c r="C61" s="77"/>
      <c r="D61" s="78" t="str">
        <f aca="false">IFERROR(INDEX(Categories!$B$2:$B$33,MATCH(C61,Categories!$A$2:$A$33,0)),"")</f>
        <v/>
      </c>
      <c r="E61" s="79"/>
      <c r="F61" s="78" t="str">
        <f aca="false">IF(A61="","",MONTH(A61))</f>
        <v/>
      </c>
      <c r="G61" s="77"/>
      <c r="H61" s="77"/>
    </row>
    <row r="62" customFormat="false" ht="15" hidden="false" customHeight="false" outlineLevel="0" collapsed="false">
      <c r="A62" s="72"/>
      <c r="B62" s="73"/>
      <c r="C62" s="73"/>
      <c r="D62" s="74" t="str">
        <f aca="false">IFERROR(INDEX(Categories!$B$2:$B$33,MATCH(C62,Categories!$A$2:$A$33,0)),"")</f>
        <v/>
      </c>
      <c r="E62" s="75"/>
      <c r="F62" s="74" t="str">
        <f aca="false">IF(A62="","",MONTH(A62))</f>
        <v/>
      </c>
      <c r="G62" s="73"/>
      <c r="H62" s="73"/>
    </row>
    <row r="63" customFormat="false" ht="15" hidden="false" customHeight="false" outlineLevel="0" collapsed="false">
      <c r="A63" s="76"/>
      <c r="B63" s="77"/>
      <c r="C63" s="77"/>
      <c r="D63" s="78" t="str">
        <f aca="false">IFERROR(INDEX(Categories!$B$2:$B$33,MATCH(C63,Categories!$A$2:$A$33,0)),"")</f>
        <v/>
      </c>
      <c r="E63" s="79"/>
      <c r="F63" s="78" t="str">
        <f aca="false">IF(A63="","",MONTH(A63))</f>
        <v/>
      </c>
      <c r="G63" s="77"/>
      <c r="H63" s="77"/>
    </row>
    <row r="64" customFormat="false" ht="15" hidden="false" customHeight="false" outlineLevel="0" collapsed="false">
      <c r="A64" s="72"/>
      <c r="B64" s="73"/>
      <c r="C64" s="73"/>
      <c r="D64" s="74" t="str">
        <f aca="false">IFERROR(INDEX(Categories!$B$2:$B$33,MATCH(C64,Categories!$A$2:$A$33,0)),"")</f>
        <v/>
      </c>
      <c r="E64" s="75"/>
      <c r="F64" s="74" t="str">
        <f aca="false">IF(A64="","",MONTH(A64))</f>
        <v/>
      </c>
      <c r="G64" s="73"/>
      <c r="H64" s="73"/>
    </row>
    <row r="65" customFormat="false" ht="15" hidden="false" customHeight="false" outlineLevel="0" collapsed="false">
      <c r="A65" s="76"/>
      <c r="B65" s="77"/>
      <c r="C65" s="77"/>
      <c r="D65" s="78" t="str">
        <f aca="false">IFERROR(INDEX(Categories!$B$2:$B$33,MATCH(C65,Categories!$A$2:$A$33,0)),"")</f>
        <v/>
      </c>
      <c r="E65" s="79"/>
      <c r="F65" s="78" t="str">
        <f aca="false">IF(A65="","",MONTH(A65))</f>
        <v/>
      </c>
      <c r="G65" s="77"/>
      <c r="H65" s="77"/>
    </row>
    <row r="66" customFormat="false" ht="15" hidden="false" customHeight="false" outlineLevel="0" collapsed="false">
      <c r="A66" s="72"/>
      <c r="B66" s="73"/>
      <c r="C66" s="73"/>
      <c r="D66" s="74" t="str">
        <f aca="false">IFERROR(INDEX(Categories!$B$2:$B$33,MATCH(C66,Categories!$A$2:$A$33,0)),"")</f>
        <v/>
      </c>
      <c r="E66" s="75"/>
      <c r="F66" s="74" t="str">
        <f aca="false">IF(A66="","",MONTH(A66))</f>
        <v/>
      </c>
      <c r="G66" s="73"/>
      <c r="H66" s="73"/>
    </row>
    <row r="67" customFormat="false" ht="15" hidden="false" customHeight="false" outlineLevel="0" collapsed="false">
      <c r="A67" s="76"/>
      <c r="B67" s="77"/>
      <c r="C67" s="77"/>
      <c r="D67" s="78" t="str">
        <f aca="false">IFERROR(INDEX(Categories!$B$2:$B$33,MATCH(C67,Categories!$A$2:$A$33,0)),"")</f>
        <v/>
      </c>
      <c r="E67" s="79"/>
      <c r="F67" s="78" t="str">
        <f aca="false">IF(A67="","",MONTH(A67))</f>
        <v/>
      </c>
      <c r="G67" s="77"/>
      <c r="H67" s="77"/>
    </row>
    <row r="68" customFormat="false" ht="15" hidden="false" customHeight="false" outlineLevel="0" collapsed="false">
      <c r="A68" s="72"/>
      <c r="B68" s="73"/>
      <c r="C68" s="73"/>
      <c r="D68" s="74" t="str">
        <f aca="false">IFERROR(INDEX(Categories!$B$2:$B$33,MATCH(C68,Categories!$A$2:$A$33,0)),"")</f>
        <v/>
      </c>
      <c r="E68" s="75"/>
      <c r="F68" s="74" t="str">
        <f aca="false">IF(A68="","",MONTH(A68))</f>
        <v/>
      </c>
      <c r="G68" s="73"/>
      <c r="H68" s="73"/>
    </row>
    <row r="69" customFormat="false" ht="15" hidden="false" customHeight="false" outlineLevel="0" collapsed="false">
      <c r="A69" s="76"/>
      <c r="B69" s="77"/>
      <c r="C69" s="77"/>
      <c r="D69" s="78" t="str">
        <f aca="false">IFERROR(INDEX(Categories!$B$2:$B$33,MATCH(C69,Categories!$A$2:$A$33,0)),"")</f>
        <v/>
      </c>
      <c r="E69" s="79"/>
      <c r="F69" s="78" t="str">
        <f aca="false">IF(A69="","",MONTH(A69))</f>
        <v/>
      </c>
      <c r="G69" s="77"/>
      <c r="H69" s="77"/>
    </row>
    <row r="70" customFormat="false" ht="15" hidden="false" customHeight="false" outlineLevel="0" collapsed="false">
      <c r="A70" s="72"/>
      <c r="B70" s="73"/>
      <c r="C70" s="73"/>
      <c r="D70" s="74" t="str">
        <f aca="false">IFERROR(INDEX(Categories!$B$2:$B$33,MATCH(C70,Categories!$A$2:$A$33,0)),"")</f>
        <v/>
      </c>
      <c r="E70" s="75"/>
      <c r="F70" s="74" t="str">
        <f aca="false">IF(A70="","",MONTH(A70))</f>
        <v/>
      </c>
      <c r="G70" s="73"/>
      <c r="H70" s="73"/>
    </row>
    <row r="71" customFormat="false" ht="15" hidden="false" customHeight="false" outlineLevel="0" collapsed="false">
      <c r="A71" s="76"/>
      <c r="B71" s="77"/>
      <c r="C71" s="77"/>
      <c r="D71" s="78" t="str">
        <f aca="false">IFERROR(INDEX(Categories!$B$2:$B$33,MATCH(C71,Categories!$A$2:$A$33,0)),"")</f>
        <v/>
      </c>
      <c r="E71" s="79"/>
      <c r="F71" s="78" t="str">
        <f aca="false">IF(A71="","",MONTH(A71))</f>
        <v/>
      </c>
      <c r="G71" s="77"/>
      <c r="H71" s="77"/>
    </row>
    <row r="72" customFormat="false" ht="15" hidden="false" customHeight="false" outlineLevel="0" collapsed="false">
      <c r="A72" s="72"/>
      <c r="B72" s="73"/>
      <c r="C72" s="73"/>
      <c r="D72" s="74" t="str">
        <f aca="false">IFERROR(INDEX(Categories!$B$2:$B$33,MATCH(C72,Categories!$A$2:$A$33,0)),"")</f>
        <v/>
      </c>
      <c r="E72" s="75"/>
      <c r="F72" s="74" t="str">
        <f aca="false">IF(A72="","",MONTH(A72))</f>
        <v/>
      </c>
      <c r="G72" s="73"/>
      <c r="H72" s="73"/>
    </row>
    <row r="73" customFormat="false" ht="15" hidden="false" customHeight="false" outlineLevel="0" collapsed="false">
      <c r="A73" s="76"/>
      <c r="B73" s="77"/>
      <c r="C73" s="77"/>
      <c r="D73" s="78" t="str">
        <f aca="false">IFERROR(INDEX(Categories!$B$2:$B$33,MATCH(C73,Categories!$A$2:$A$33,0)),"")</f>
        <v/>
      </c>
      <c r="E73" s="79"/>
      <c r="F73" s="78" t="str">
        <f aca="false">IF(A73="","",MONTH(A73))</f>
        <v/>
      </c>
      <c r="G73" s="77"/>
      <c r="H73" s="77"/>
    </row>
    <row r="74" customFormat="false" ht="15" hidden="false" customHeight="false" outlineLevel="0" collapsed="false">
      <c r="A74" s="72"/>
      <c r="B74" s="73"/>
      <c r="C74" s="73"/>
      <c r="D74" s="74" t="str">
        <f aca="false">IFERROR(INDEX(Categories!$B$2:$B$33,MATCH(C74,Categories!$A$2:$A$33,0)),"")</f>
        <v/>
      </c>
      <c r="E74" s="75"/>
      <c r="F74" s="74" t="str">
        <f aca="false">IF(A74="","",MONTH(A74))</f>
        <v/>
      </c>
      <c r="G74" s="73"/>
      <c r="H74" s="73"/>
    </row>
    <row r="75" customFormat="false" ht="15" hidden="false" customHeight="false" outlineLevel="0" collapsed="false">
      <c r="A75" s="76"/>
      <c r="B75" s="77"/>
      <c r="C75" s="77"/>
      <c r="D75" s="78" t="str">
        <f aca="false">IFERROR(INDEX(Categories!$B$2:$B$33,MATCH(C75,Categories!$A$2:$A$33,0)),"")</f>
        <v/>
      </c>
      <c r="E75" s="79"/>
      <c r="F75" s="78" t="str">
        <f aca="false">IF(A75="","",MONTH(A75))</f>
        <v/>
      </c>
      <c r="G75" s="77"/>
      <c r="H75" s="77"/>
    </row>
    <row r="76" customFormat="false" ht="15" hidden="false" customHeight="false" outlineLevel="0" collapsed="false">
      <c r="A76" s="72"/>
      <c r="B76" s="73"/>
      <c r="C76" s="73"/>
      <c r="D76" s="74" t="str">
        <f aca="false">IFERROR(INDEX(Categories!$B$2:$B$33,MATCH(C76,Categories!$A$2:$A$33,0)),"")</f>
        <v/>
      </c>
      <c r="E76" s="75"/>
      <c r="F76" s="74" t="str">
        <f aca="false">IF(A76="","",MONTH(A76))</f>
        <v/>
      </c>
      <c r="G76" s="73"/>
      <c r="H76" s="73"/>
    </row>
    <row r="77" customFormat="false" ht="15" hidden="false" customHeight="false" outlineLevel="0" collapsed="false">
      <c r="A77" s="76"/>
      <c r="B77" s="77"/>
      <c r="C77" s="77"/>
      <c r="D77" s="78" t="str">
        <f aca="false">IFERROR(INDEX(Categories!$B$2:$B$33,MATCH(C77,Categories!$A$2:$A$33,0)),"")</f>
        <v/>
      </c>
      <c r="E77" s="79"/>
      <c r="F77" s="78" t="str">
        <f aca="false">IF(A77="","",MONTH(A77))</f>
        <v/>
      </c>
      <c r="G77" s="77"/>
      <c r="H77" s="77"/>
    </row>
    <row r="78" customFormat="false" ht="15" hidden="false" customHeight="false" outlineLevel="0" collapsed="false">
      <c r="A78" s="72"/>
      <c r="B78" s="73"/>
      <c r="C78" s="73"/>
      <c r="D78" s="74" t="str">
        <f aca="false">IFERROR(INDEX(Categories!$B$2:$B$33,MATCH(C78,Categories!$A$2:$A$33,0)),"")</f>
        <v/>
      </c>
      <c r="E78" s="75"/>
      <c r="F78" s="74" t="str">
        <f aca="false">IF(A78="","",MONTH(A78))</f>
        <v/>
      </c>
      <c r="G78" s="73"/>
      <c r="H78" s="73"/>
    </row>
    <row r="79" customFormat="false" ht="15" hidden="false" customHeight="false" outlineLevel="0" collapsed="false">
      <c r="A79" s="76"/>
      <c r="B79" s="77"/>
      <c r="C79" s="77"/>
      <c r="D79" s="78" t="str">
        <f aca="false">IFERROR(INDEX(Categories!$B$2:$B$33,MATCH(C79,Categories!$A$2:$A$33,0)),"")</f>
        <v/>
      </c>
      <c r="E79" s="79"/>
      <c r="F79" s="78" t="str">
        <f aca="false">IF(A79="","",MONTH(A79))</f>
        <v/>
      </c>
      <c r="G79" s="77"/>
      <c r="H79" s="77"/>
    </row>
    <row r="80" customFormat="false" ht="15" hidden="false" customHeight="false" outlineLevel="0" collapsed="false">
      <c r="A80" s="72"/>
      <c r="B80" s="73"/>
      <c r="C80" s="73"/>
      <c r="D80" s="74" t="str">
        <f aca="false">IFERROR(INDEX(Categories!$B$2:$B$33,MATCH(C80,Categories!$A$2:$A$33,0)),"")</f>
        <v/>
      </c>
      <c r="E80" s="75"/>
      <c r="F80" s="74" t="str">
        <f aca="false">IF(A80="","",MONTH(A80))</f>
        <v/>
      </c>
      <c r="G80" s="73"/>
      <c r="H80" s="73"/>
    </row>
    <row r="81" customFormat="false" ht="15" hidden="false" customHeight="false" outlineLevel="0" collapsed="false">
      <c r="A81" s="76"/>
      <c r="B81" s="77"/>
      <c r="C81" s="77"/>
      <c r="D81" s="78" t="str">
        <f aca="false">IFERROR(INDEX(Categories!$B$2:$B$33,MATCH(C81,Categories!$A$2:$A$33,0)),"")</f>
        <v/>
      </c>
      <c r="E81" s="79"/>
      <c r="F81" s="78" t="str">
        <f aca="false">IF(A81="","",MONTH(A81))</f>
        <v/>
      </c>
      <c r="G81" s="77"/>
      <c r="H81" s="77"/>
    </row>
    <row r="82" customFormat="false" ht="15" hidden="false" customHeight="false" outlineLevel="0" collapsed="false">
      <c r="A82" s="72"/>
      <c r="B82" s="73"/>
      <c r="C82" s="73"/>
      <c r="D82" s="74" t="str">
        <f aca="false">IFERROR(INDEX(Categories!$B$2:$B$33,MATCH(C82,Categories!$A$2:$A$33,0)),"")</f>
        <v/>
      </c>
      <c r="E82" s="75"/>
      <c r="F82" s="74" t="str">
        <f aca="false">IF(A82="","",MONTH(A82))</f>
        <v/>
      </c>
      <c r="G82" s="73"/>
      <c r="H82" s="73"/>
    </row>
    <row r="83" customFormat="false" ht="15" hidden="false" customHeight="false" outlineLevel="0" collapsed="false">
      <c r="A83" s="76"/>
      <c r="B83" s="77"/>
      <c r="C83" s="77"/>
      <c r="D83" s="78" t="str">
        <f aca="false">IFERROR(INDEX(Categories!$B$2:$B$33,MATCH(C83,Categories!$A$2:$A$33,0)),"")</f>
        <v/>
      </c>
      <c r="E83" s="79"/>
      <c r="F83" s="78" t="str">
        <f aca="false">IF(A83="","",MONTH(A83))</f>
        <v/>
      </c>
      <c r="G83" s="77"/>
      <c r="H83" s="77"/>
    </row>
    <row r="84" customFormat="false" ht="15" hidden="false" customHeight="false" outlineLevel="0" collapsed="false">
      <c r="A84" s="72"/>
      <c r="B84" s="73"/>
      <c r="C84" s="73"/>
      <c r="D84" s="74" t="str">
        <f aca="false">IFERROR(INDEX(Categories!$B$2:$B$33,MATCH(C84,Categories!$A$2:$A$33,0)),"")</f>
        <v/>
      </c>
      <c r="E84" s="75"/>
      <c r="F84" s="74" t="str">
        <f aca="false">IF(A84="","",MONTH(A84))</f>
        <v/>
      </c>
      <c r="G84" s="73"/>
      <c r="H84" s="73"/>
    </row>
    <row r="85" customFormat="false" ht="15" hidden="false" customHeight="false" outlineLevel="0" collapsed="false">
      <c r="A85" s="76"/>
      <c r="B85" s="77"/>
      <c r="C85" s="77"/>
      <c r="D85" s="78" t="str">
        <f aca="false">IFERROR(INDEX(Categories!$B$2:$B$33,MATCH(C85,Categories!$A$2:$A$33,0)),"")</f>
        <v/>
      </c>
      <c r="E85" s="79"/>
      <c r="F85" s="78" t="str">
        <f aca="false">IF(A85="","",MONTH(A85))</f>
        <v/>
      </c>
      <c r="G85" s="77"/>
      <c r="H85" s="77"/>
    </row>
    <row r="86" customFormat="false" ht="15" hidden="false" customHeight="false" outlineLevel="0" collapsed="false">
      <c r="A86" s="72"/>
      <c r="B86" s="73"/>
      <c r="C86" s="73"/>
      <c r="D86" s="74" t="str">
        <f aca="false">IFERROR(INDEX(Categories!$B$2:$B$33,MATCH(C86,Categories!$A$2:$A$33,0)),"")</f>
        <v/>
      </c>
      <c r="E86" s="75"/>
      <c r="F86" s="74" t="str">
        <f aca="false">IF(A86="","",MONTH(A86))</f>
        <v/>
      </c>
      <c r="G86" s="73"/>
      <c r="H86" s="73"/>
    </row>
    <row r="87" customFormat="false" ht="15" hidden="false" customHeight="false" outlineLevel="0" collapsed="false">
      <c r="A87" s="76"/>
      <c r="B87" s="77"/>
      <c r="C87" s="77"/>
      <c r="D87" s="78" t="str">
        <f aca="false">IFERROR(INDEX(Categories!$B$2:$B$33,MATCH(C87,Categories!$A$2:$A$33,0)),"")</f>
        <v/>
      </c>
      <c r="E87" s="79"/>
      <c r="F87" s="78" t="str">
        <f aca="false">IF(A87="","",MONTH(A87))</f>
        <v/>
      </c>
      <c r="G87" s="77"/>
      <c r="H87" s="77"/>
    </row>
    <row r="88" customFormat="false" ht="15" hidden="false" customHeight="false" outlineLevel="0" collapsed="false">
      <c r="A88" s="72"/>
      <c r="B88" s="73"/>
      <c r="C88" s="73"/>
      <c r="D88" s="74" t="str">
        <f aca="false">IFERROR(INDEX(Categories!$B$2:$B$33,MATCH(C88,Categories!$A$2:$A$33,0)),"")</f>
        <v/>
      </c>
      <c r="E88" s="75"/>
      <c r="F88" s="74" t="str">
        <f aca="false">IF(A88="","",MONTH(A88))</f>
        <v/>
      </c>
      <c r="G88" s="73"/>
      <c r="H88" s="73"/>
    </row>
    <row r="89" customFormat="false" ht="15" hidden="false" customHeight="false" outlineLevel="0" collapsed="false">
      <c r="A89" s="76"/>
      <c r="B89" s="77"/>
      <c r="C89" s="77"/>
      <c r="D89" s="78" t="str">
        <f aca="false">IFERROR(INDEX(Categories!$B$2:$B$33,MATCH(C89,Categories!$A$2:$A$33,0)),"")</f>
        <v/>
      </c>
      <c r="E89" s="79"/>
      <c r="F89" s="78" t="str">
        <f aca="false">IF(A89="","",MONTH(A89))</f>
        <v/>
      </c>
      <c r="G89" s="77"/>
      <c r="H89" s="77"/>
    </row>
    <row r="90" customFormat="false" ht="15" hidden="false" customHeight="false" outlineLevel="0" collapsed="false">
      <c r="A90" s="72"/>
      <c r="B90" s="73"/>
      <c r="C90" s="73"/>
      <c r="D90" s="74" t="str">
        <f aca="false">IFERROR(INDEX(Categories!$B$2:$B$33,MATCH(C90,Categories!$A$2:$A$33,0)),"")</f>
        <v/>
      </c>
      <c r="E90" s="75"/>
      <c r="F90" s="74" t="str">
        <f aca="false">IF(A90="","",MONTH(A90))</f>
        <v/>
      </c>
      <c r="G90" s="73"/>
      <c r="H90" s="73"/>
    </row>
    <row r="91" customFormat="false" ht="15" hidden="false" customHeight="false" outlineLevel="0" collapsed="false">
      <c r="A91" s="76"/>
      <c r="B91" s="77"/>
      <c r="C91" s="77"/>
      <c r="D91" s="78" t="str">
        <f aca="false">IFERROR(INDEX(Categories!$B$2:$B$33,MATCH(C91,Categories!$A$2:$A$33,0)),"")</f>
        <v/>
      </c>
      <c r="E91" s="79"/>
      <c r="F91" s="78" t="str">
        <f aca="false">IF(A91="","",MONTH(A91))</f>
        <v/>
      </c>
      <c r="G91" s="77"/>
      <c r="H91" s="77"/>
    </row>
    <row r="92" customFormat="false" ht="15" hidden="false" customHeight="false" outlineLevel="0" collapsed="false">
      <c r="A92" s="72"/>
      <c r="B92" s="73"/>
      <c r="C92" s="73"/>
      <c r="D92" s="74" t="str">
        <f aca="false">IFERROR(INDEX(Categories!$B$2:$B$33,MATCH(C92,Categories!$A$2:$A$33,0)),"")</f>
        <v/>
      </c>
      <c r="E92" s="75"/>
      <c r="F92" s="74" t="str">
        <f aca="false">IF(A92="","",MONTH(A92))</f>
        <v/>
      </c>
      <c r="G92" s="73"/>
      <c r="H92" s="73"/>
    </row>
    <row r="93" customFormat="false" ht="15" hidden="false" customHeight="false" outlineLevel="0" collapsed="false">
      <c r="A93" s="76"/>
      <c r="B93" s="77"/>
      <c r="C93" s="77"/>
      <c r="D93" s="78" t="str">
        <f aca="false">IFERROR(INDEX(Categories!$B$2:$B$33,MATCH(C93,Categories!$A$2:$A$33,0)),"")</f>
        <v/>
      </c>
      <c r="E93" s="79"/>
      <c r="F93" s="78" t="str">
        <f aca="false">IF(A93="","",MONTH(A93))</f>
        <v/>
      </c>
      <c r="G93" s="77"/>
      <c r="H93" s="77"/>
    </row>
    <row r="94" customFormat="false" ht="15" hidden="false" customHeight="false" outlineLevel="0" collapsed="false">
      <c r="A94" s="72"/>
      <c r="B94" s="73"/>
      <c r="C94" s="73"/>
      <c r="D94" s="74" t="str">
        <f aca="false">IFERROR(INDEX(Categories!$B$2:$B$33,MATCH(C94,Categories!$A$2:$A$33,0)),"")</f>
        <v/>
      </c>
      <c r="E94" s="75"/>
      <c r="F94" s="74" t="str">
        <f aca="false">IF(A94="","",MONTH(A94))</f>
        <v/>
      </c>
      <c r="G94" s="73"/>
      <c r="H94" s="73"/>
    </row>
    <row r="95" customFormat="false" ht="15" hidden="false" customHeight="false" outlineLevel="0" collapsed="false">
      <c r="A95" s="76"/>
      <c r="B95" s="77"/>
      <c r="C95" s="77"/>
      <c r="D95" s="78" t="str">
        <f aca="false">IFERROR(INDEX(Categories!$B$2:$B$33,MATCH(C95,Categories!$A$2:$A$33,0)),"")</f>
        <v/>
      </c>
      <c r="E95" s="79"/>
      <c r="F95" s="78" t="str">
        <f aca="false">IF(A95="","",MONTH(A95))</f>
        <v/>
      </c>
      <c r="G95" s="77"/>
      <c r="H95" s="77"/>
    </row>
    <row r="96" customFormat="false" ht="15" hidden="false" customHeight="false" outlineLevel="0" collapsed="false">
      <c r="A96" s="72"/>
      <c r="B96" s="73"/>
      <c r="C96" s="73"/>
      <c r="D96" s="74" t="str">
        <f aca="false">IFERROR(INDEX(Categories!$B$2:$B$33,MATCH(C96,Categories!$A$2:$A$33,0)),"")</f>
        <v/>
      </c>
      <c r="E96" s="75"/>
      <c r="F96" s="74" t="str">
        <f aca="false">IF(A96="","",MONTH(A96))</f>
        <v/>
      </c>
      <c r="G96" s="73"/>
      <c r="H96" s="73"/>
    </row>
    <row r="97" customFormat="false" ht="15" hidden="false" customHeight="false" outlineLevel="0" collapsed="false">
      <c r="A97" s="76"/>
      <c r="B97" s="77"/>
      <c r="C97" s="77"/>
      <c r="D97" s="78" t="str">
        <f aca="false">IFERROR(INDEX(Categories!$B$2:$B$33,MATCH(C97,Categories!$A$2:$A$33,0)),"")</f>
        <v/>
      </c>
      <c r="E97" s="79"/>
      <c r="F97" s="78" t="str">
        <f aca="false">IF(A97="","",MONTH(A97))</f>
        <v/>
      </c>
      <c r="G97" s="77"/>
      <c r="H97" s="77"/>
    </row>
    <row r="98" customFormat="false" ht="15" hidden="false" customHeight="false" outlineLevel="0" collapsed="false">
      <c r="A98" s="72"/>
      <c r="B98" s="73"/>
      <c r="C98" s="73"/>
      <c r="D98" s="74" t="str">
        <f aca="false">IFERROR(INDEX(Categories!$B$2:$B$33,MATCH(C98,Categories!$A$2:$A$33,0)),"")</f>
        <v/>
      </c>
      <c r="E98" s="75"/>
      <c r="F98" s="74" t="str">
        <f aca="false">IF(A98="","",MONTH(A98))</f>
        <v/>
      </c>
      <c r="G98" s="73"/>
      <c r="H98" s="73"/>
    </row>
    <row r="99" customFormat="false" ht="15" hidden="false" customHeight="false" outlineLevel="0" collapsed="false">
      <c r="A99" s="76"/>
      <c r="B99" s="77"/>
      <c r="C99" s="77"/>
      <c r="D99" s="78" t="str">
        <f aca="false">IFERROR(INDEX(Categories!$B$2:$B$33,MATCH(C99,Categories!$A$2:$A$33,0)),"")</f>
        <v/>
      </c>
      <c r="E99" s="79"/>
      <c r="F99" s="78" t="str">
        <f aca="false">IF(A99="","",MONTH(A99))</f>
        <v/>
      </c>
      <c r="G99" s="77"/>
      <c r="H99" s="77"/>
    </row>
    <row r="100" customFormat="false" ht="15" hidden="false" customHeight="false" outlineLevel="0" collapsed="false">
      <c r="A100" s="72"/>
      <c r="B100" s="73"/>
      <c r="C100" s="73"/>
      <c r="D100" s="74" t="str">
        <f aca="false">IFERROR(INDEX(Categories!$B$2:$B$33,MATCH(C100,Categories!$A$2:$A$33,0)),"")</f>
        <v/>
      </c>
      <c r="E100" s="75"/>
      <c r="F100" s="74" t="str">
        <f aca="false">IF(A100="","",MONTH(A100))</f>
        <v/>
      </c>
      <c r="G100" s="73"/>
      <c r="H100" s="73"/>
    </row>
    <row r="101" customFormat="false" ht="15" hidden="false" customHeight="false" outlineLevel="0" collapsed="false">
      <c r="A101" s="76"/>
      <c r="B101" s="77"/>
      <c r="C101" s="77"/>
      <c r="D101" s="78" t="str">
        <f aca="false">IFERROR(INDEX(Categories!$B$2:$B$33,MATCH(C101,Categories!$A$2:$A$33,0)),"")</f>
        <v/>
      </c>
      <c r="E101" s="79"/>
      <c r="F101" s="78" t="str">
        <f aca="false">IF(A101="","",MONTH(A101))</f>
        <v/>
      </c>
      <c r="G101" s="77"/>
      <c r="H101" s="77"/>
    </row>
    <row r="102" customFormat="false" ht="15" hidden="false" customHeight="false" outlineLevel="0" collapsed="false">
      <c r="A102" s="72"/>
      <c r="B102" s="73"/>
      <c r="C102" s="73"/>
      <c r="D102" s="74" t="str">
        <f aca="false">IFERROR(INDEX(Categories!$B$2:$B$33,MATCH(C102,Categories!$A$2:$A$33,0)),"")</f>
        <v/>
      </c>
      <c r="E102" s="75"/>
      <c r="F102" s="74" t="str">
        <f aca="false">IF(A102="","",MONTH(A102))</f>
        <v/>
      </c>
      <c r="G102" s="73"/>
      <c r="H102" s="73"/>
    </row>
    <row r="103" customFormat="false" ht="15" hidden="false" customHeight="false" outlineLevel="0" collapsed="false">
      <c r="A103" s="76"/>
      <c r="B103" s="77"/>
      <c r="C103" s="77"/>
      <c r="D103" s="78" t="str">
        <f aca="false">IFERROR(INDEX(Categories!$B$2:$B$33,MATCH(C103,Categories!$A$2:$A$33,0)),"")</f>
        <v/>
      </c>
      <c r="E103" s="79"/>
      <c r="F103" s="78" t="str">
        <f aca="false">IF(A103="","",MONTH(A103))</f>
        <v/>
      </c>
      <c r="G103" s="77"/>
      <c r="H103" s="77"/>
    </row>
    <row r="104" customFormat="false" ht="15" hidden="false" customHeight="false" outlineLevel="0" collapsed="false">
      <c r="A104" s="72"/>
      <c r="B104" s="73"/>
      <c r="C104" s="73"/>
      <c r="D104" s="74" t="str">
        <f aca="false">IFERROR(INDEX(Categories!$B$2:$B$33,MATCH(C104,Categories!$A$2:$A$33,0)),"")</f>
        <v/>
      </c>
      <c r="E104" s="75"/>
      <c r="F104" s="74" t="str">
        <f aca="false">IF(A104="","",MONTH(A104))</f>
        <v/>
      </c>
      <c r="G104" s="73"/>
      <c r="H104" s="73"/>
    </row>
    <row r="105" customFormat="false" ht="15" hidden="false" customHeight="false" outlineLevel="0" collapsed="false">
      <c r="A105" s="76"/>
      <c r="B105" s="77"/>
      <c r="C105" s="77"/>
      <c r="D105" s="78" t="str">
        <f aca="false">IFERROR(INDEX(Categories!$B$2:$B$33,MATCH(C105,Categories!$A$2:$A$33,0)),"")</f>
        <v/>
      </c>
      <c r="E105" s="79"/>
      <c r="F105" s="78" t="str">
        <f aca="false">IF(A105="","",MONTH(A105))</f>
        <v/>
      </c>
      <c r="G105" s="77"/>
      <c r="H105" s="77"/>
    </row>
    <row r="106" customFormat="false" ht="15" hidden="false" customHeight="false" outlineLevel="0" collapsed="false">
      <c r="A106" s="72"/>
      <c r="B106" s="73"/>
      <c r="C106" s="73"/>
      <c r="D106" s="74" t="str">
        <f aca="false">IFERROR(INDEX(Categories!$B$2:$B$33,MATCH(C106,Categories!$A$2:$A$33,0)),"")</f>
        <v/>
      </c>
      <c r="E106" s="75"/>
      <c r="F106" s="74" t="str">
        <f aca="false">IF(A106="","",MONTH(A106))</f>
        <v/>
      </c>
      <c r="G106" s="73"/>
      <c r="H106" s="73"/>
    </row>
    <row r="107" customFormat="false" ht="15" hidden="false" customHeight="false" outlineLevel="0" collapsed="false">
      <c r="A107" s="76"/>
      <c r="B107" s="77"/>
      <c r="C107" s="77"/>
      <c r="D107" s="78" t="str">
        <f aca="false">IFERROR(INDEX(Categories!$B$2:$B$33,MATCH(C107,Categories!$A$2:$A$33,0)),"")</f>
        <v/>
      </c>
      <c r="E107" s="79"/>
      <c r="F107" s="78" t="str">
        <f aca="false">IF(A107="","",MONTH(A107))</f>
        <v/>
      </c>
      <c r="G107" s="77"/>
      <c r="H107" s="77"/>
    </row>
    <row r="108" customFormat="false" ht="15" hidden="false" customHeight="false" outlineLevel="0" collapsed="false">
      <c r="A108" s="72"/>
      <c r="B108" s="73"/>
      <c r="C108" s="73"/>
      <c r="D108" s="74" t="str">
        <f aca="false">IFERROR(INDEX(Categories!$B$2:$B$33,MATCH(C108,Categories!$A$2:$A$33,0)),"")</f>
        <v/>
      </c>
      <c r="E108" s="75"/>
      <c r="F108" s="74" t="str">
        <f aca="false">IF(A108="","",MONTH(A108))</f>
        <v/>
      </c>
      <c r="G108" s="73"/>
      <c r="H108" s="73"/>
    </row>
    <row r="109" customFormat="false" ht="15" hidden="false" customHeight="false" outlineLevel="0" collapsed="false">
      <c r="A109" s="76"/>
      <c r="B109" s="77"/>
      <c r="C109" s="77"/>
      <c r="D109" s="78" t="str">
        <f aca="false">IFERROR(INDEX(Categories!$B$2:$B$33,MATCH(C109,Categories!$A$2:$A$33,0)),"")</f>
        <v/>
      </c>
      <c r="E109" s="79"/>
      <c r="F109" s="78" t="str">
        <f aca="false">IF(A109="","",MONTH(A109))</f>
        <v/>
      </c>
      <c r="G109" s="77"/>
      <c r="H109" s="77"/>
    </row>
    <row r="110" customFormat="false" ht="15" hidden="false" customHeight="false" outlineLevel="0" collapsed="false">
      <c r="A110" s="72"/>
      <c r="B110" s="73"/>
      <c r="C110" s="73"/>
      <c r="D110" s="74" t="str">
        <f aca="false">IFERROR(INDEX(Categories!$B$2:$B$33,MATCH(C110,Categories!$A$2:$A$33,0)),"")</f>
        <v/>
      </c>
      <c r="E110" s="75"/>
      <c r="F110" s="74" t="str">
        <f aca="false">IF(A110="","",MONTH(A110))</f>
        <v/>
      </c>
      <c r="G110" s="73"/>
      <c r="H110" s="73"/>
    </row>
    <row r="111" customFormat="false" ht="15" hidden="false" customHeight="false" outlineLevel="0" collapsed="false">
      <c r="A111" s="76"/>
      <c r="B111" s="77"/>
      <c r="C111" s="77"/>
      <c r="D111" s="78" t="str">
        <f aca="false">IFERROR(INDEX(Categories!$B$2:$B$33,MATCH(C111,Categories!$A$2:$A$33,0)),"")</f>
        <v/>
      </c>
      <c r="E111" s="79"/>
      <c r="F111" s="78" t="str">
        <f aca="false">IF(A111="","",MONTH(A111))</f>
        <v/>
      </c>
      <c r="G111" s="77"/>
      <c r="H111" s="77"/>
    </row>
    <row r="112" customFormat="false" ht="15" hidden="false" customHeight="false" outlineLevel="0" collapsed="false">
      <c r="A112" s="72"/>
      <c r="B112" s="73"/>
      <c r="C112" s="73"/>
      <c r="D112" s="74" t="str">
        <f aca="false">IFERROR(INDEX(Categories!$B$2:$B$33,MATCH(C112,Categories!$A$2:$A$33,0)),"")</f>
        <v/>
      </c>
      <c r="E112" s="75"/>
      <c r="F112" s="74" t="str">
        <f aca="false">IF(A112="","",MONTH(A112))</f>
        <v/>
      </c>
      <c r="G112" s="73"/>
      <c r="H112" s="73"/>
    </row>
    <row r="113" customFormat="false" ht="15" hidden="false" customHeight="false" outlineLevel="0" collapsed="false">
      <c r="A113" s="76"/>
      <c r="B113" s="77"/>
      <c r="C113" s="77"/>
      <c r="D113" s="78" t="str">
        <f aca="false">IFERROR(INDEX(Categories!$B$2:$B$33,MATCH(C113,Categories!$A$2:$A$33,0)),"")</f>
        <v/>
      </c>
      <c r="E113" s="79"/>
      <c r="F113" s="78" t="str">
        <f aca="false">IF(A113="","",MONTH(A113))</f>
        <v/>
      </c>
      <c r="G113" s="77"/>
      <c r="H113" s="77"/>
    </row>
    <row r="114" customFormat="false" ht="15" hidden="false" customHeight="false" outlineLevel="0" collapsed="false">
      <c r="A114" s="72"/>
      <c r="B114" s="73"/>
      <c r="C114" s="73"/>
      <c r="D114" s="74" t="str">
        <f aca="false">IFERROR(INDEX(Categories!$B$2:$B$33,MATCH(C114,Categories!$A$2:$A$33,0)),"")</f>
        <v/>
      </c>
      <c r="E114" s="75"/>
      <c r="F114" s="74" t="str">
        <f aca="false">IF(A114="","",MONTH(A114))</f>
        <v/>
      </c>
      <c r="G114" s="73"/>
      <c r="H114" s="73"/>
    </row>
    <row r="115" customFormat="false" ht="15" hidden="false" customHeight="false" outlineLevel="0" collapsed="false">
      <c r="A115" s="76"/>
      <c r="B115" s="77"/>
      <c r="C115" s="77"/>
      <c r="D115" s="78" t="str">
        <f aca="false">IFERROR(INDEX(Categories!$B$2:$B$33,MATCH(C115,Categories!$A$2:$A$33,0)),"")</f>
        <v/>
      </c>
      <c r="E115" s="79"/>
      <c r="F115" s="78" t="str">
        <f aca="false">IF(A115="","",MONTH(A115))</f>
        <v/>
      </c>
      <c r="G115" s="77"/>
      <c r="H115" s="77"/>
    </row>
    <row r="116" customFormat="false" ht="15" hidden="false" customHeight="false" outlineLevel="0" collapsed="false">
      <c r="A116" s="72"/>
      <c r="B116" s="73"/>
      <c r="C116" s="73"/>
      <c r="D116" s="74" t="str">
        <f aca="false">IFERROR(INDEX(Categories!$B$2:$B$33,MATCH(C116,Categories!$A$2:$A$33,0)),"")</f>
        <v/>
      </c>
      <c r="E116" s="75"/>
      <c r="F116" s="74" t="str">
        <f aca="false">IF(A116="","",MONTH(A116))</f>
        <v/>
      </c>
      <c r="G116" s="73"/>
      <c r="H116" s="73"/>
    </row>
    <row r="117" customFormat="false" ht="15" hidden="false" customHeight="false" outlineLevel="0" collapsed="false">
      <c r="A117" s="76"/>
      <c r="B117" s="77"/>
      <c r="C117" s="77"/>
      <c r="D117" s="78" t="str">
        <f aca="false">IFERROR(INDEX(Categories!$B$2:$B$33,MATCH(C117,Categories!$A$2:$A$33,0)),"")</f>
        <v/>
      </c>
      <c r="E117" s="79"/>
      <c r="F117" s="78" t="str">
        <f aca="false">IF(A117="","",MONTH(A117))</f>
        <v/>
      </c>
      <c r="G117" s="77"/>
      <c r="H117" s="77"/>
    </row>
    <row r="118" customFormat="false" ht="15" hidden="false" customHeight="false" outlineLevel="0" collapsed="false">
      <c r="A118" s="72"/>
      <c r="B118" s="73"/>
      <c r="C118" s="73"/>
      <c r="D118" s="74" t="str">
        <f aca="false">IFERROR(INDEX(Categories!$B$2:$B$33,MATCH(C118,Categories!$A$2:$A$33,0)),"")</f>
        <v/>
      </c>
      <c r="E118" s="75"/>
      <c r="F118" s="74" t="str">
        <f aca="false">IF(A118="","",MONTH(A118))</f>
        <v/>
      </c>
      <c r="G118" s="73"/>
      <c r="H118" s="73"/>
    </row>
    <row r="119" customFormat="false" ht="15" hidden="false" customHeight="false" outlineLevel="0" collapsed="false">
      <c r="A119" s="76"/>
      <c r="B119" s="77"/>
      <c r="C119" s="77"/>
      <c r="D119" s="78" t="str">
        <f aca="false">IFERROR(INDEX(Categories!$B$2:$B$33,MATCH(C119,Categories!$A$2:$A$33,0)),"")</f>
        <v/>
      </c>
      <c r="E119" s="79"/>
      <c r="F119" s="78" t="str">
        <f aca="false">IF(A119="","",MONTH(A119))</f>
        <v/>
      </c>
      <c r="G119" s="77"/>
      <c r="H119" s="77"/>
    </row>
    <row r="120" customFormat="false" ht="15" hidden="false" customHeight="false" outlineLevel="0" collapsed="false">
      <c r="A120" s="72"/>
      <c r="B120" s="73"/>
      <c r="C120" s="73"/>
      <c r="D120" s="74" t="str">
        <f aca="false">IFERROR(INDEX(Categories!$B$2:$B$33,MATCH(C120,Categories!$A$2:$A$33,0)),"")</f>
        <v/>
      </c>
      <c r="E120" s="75"/>
      <c r="F120" s="74" t="str">
        <f aca="false">IF(A120="","",MONTH(A120))</f>
        <v/>
      </c>
      <c r="G120" s="73"/>
      <c r="H120" s="73"/>
    </row>
    <row r="121" customFormat="false" ht="15" hidden="false" customHeight="false" outlineLevel="0" collapsed="false">
      <c r="A121" s="76"/>
      <c r="B121" s="77"/>
      <c r="C121" s="77"/>
      <c r="D121" s="78" t="str">
        <f aca="false">IFERROR(INDEX(Categories!$B$2:$B$33,MATCH(C121,Categories!$A$2:$A$33,0)),"")</f>
        <v/>
      </c>
      <c r="E121" s="79"/>
      <c r="F121" s="78" t="str">
        <f aca="false">IF(A121="","",MONTH(A121))</f>
        <v/>
      </c>
      <c r="G121" s="77"/>
      <c r="H121" s="77"/>
    </row>
    <row r="122" customFormat="false" ht="15" hidden="false" customHeight="false" outlineLevel="0" collapsed="false">
      <c r="A122" s="72"/>
      <c r="B122" s="73"/>
      <c r="C122" s="73"/>
      <c r="D122" s="74" t="str">
        <f aca="false">IFERROR(INDEX(Categories!$B$2:$B$33,MATCH(C122,Categories!$A$2:$A$33,0)),"")</f>
        <v/>
      </c>
      <c r="E122" s="75"/>
      <c r="F122" s="74" t="str">
        <f aca="false">IF(A122="","",MONTH(A122))</f>
        <v/>
      </c>
      <c r="G122" s="73"/>
      <c r="H122" s="73"/>
    </row>
    <row r="123" customFormat="false" ht="15" hidden="false" customHeight="false" outlineLevel="0" collapsed="false">
      <c r="A123" s="76"/>
      <c r="B123" s="77"/>
      <c r="C123" s="77"/>
      <c r="D123" s="78" t="str">
        <f aca="false">IFERROR(INDEX(Categories!$B$2:$B$33,MATCH(C123,Categories!$A$2:$A$33,0)),"")</f>
        <v/>
      </c>
      <c r="E123" s="79"/>
      <c r="F123" s="78" t="str">
        <f aca="false">IF(A123="","",MONTH(A123))</f>
        <v/>
      </c>
      <c r="G123" s="77"/>
      <c r="H123" s="77"/>
    </row>
    <row r="124" customFormat="false" ht="15" hidden="false" customHeight="false" outlineLevel="0" collapsed="false">
      <c r="A124" s="72"/>
      <c r="B124" s="73"/>
      <c r="C124" s="73"/>
      <c r="D124" s="74" t="str">
        <f aca="false">IFERROR(INDEX(Categories!$B$2:$B$33,MATCH(C124,Categories!$A$2:$A$33,0)),"")</f>
        <v/>
      </c>
      <c r="E124" s="75"/>
      <c r="F124" s="74" t="str">
        <f aca="false">IF(A124="","",MONTH(A124))</f>
        <v/>
      </c>
      <c r="G124" s="73"/>
      <c r="H124" s="73"/>
    </row>
    <row r="125" customFormat="false" ht="15" hidden="false" customHeight="false" outlineLevel="0" collapsed="false">
      <c r="A125" s="76"/>
      <c r="B125" s="77"/>
      <c r="C125" s="77"/>
      <c r="D125" s="78" t="str">
        <f aca="false">IFERROR(INDEX(Categories!$B$2:$B$33,MATCH(C125,Categories!$A$2:$A$33,0)),"")</f>
        <v/>
      </c>
      <c r="E125" s="79"/>
      <c r="F125" s="78" t="str">
        <f aca="false">IF(A125="","",MONTH(A125))</f>
        <v/>
      </c>
      <c r="G125" s="77"/>
      <c r="H125" s="77"/>
    </row>
    <row r="126" customFormat="false" ht="15" hidden="false" customHeight="false" outlineLevel="0" collapsed="false">
      <c r="A126" s="72"/>
      <c r="B126" s="73"/>
      <c r="C126" s="73"/>
      <c r="D126" s="74" t="str">
        <f aca="false">IFERROR(INDEX(Categories!$B$2:$B$33,MATCH(C126,Categories!$A$2:$A$33,0)),"")</f>
        <v/>
      </c>
      <c r="E126" s="75"/>
      <c r="F126" s="74" t="str">
        <f aca="false">IF(A126="","",MONTH(A126))</f>
        <v/>
      </c>
      <c r="G126" s="73"/>
      <c r="H126" s="73"/>
    </row>
    <row r="127" customFormat="false" ht="15" hidden="false" customHeight="false" outlineLevel="0" collapsed="false">
      <c r="A127" s="76"/>
      <c r="B127" s="77"/>
      <c r="C127" s="77"/>
      <c r="D127" s="78" t="str">
        <f aca="false">IFERROR(INDEX(Categories!$B$2:$B$33,MATCH(C127,Categories!$A$2:$A$33,0)),"")</f>
        <v/>
      </c>
      <c r="E127" s="79"/>
      <c r="F127" s="78" t="str">
        <f aca="false">IF(A127="","",MONTH(A127))</f>
        <v/>
      </c>
      <c r="G127" s="77"/>
      <c r="H127" s="77"/>
    </row>
    <row r="128" customFormat="false" ht="15" hidden="false" customHeight="false" outlineLevel="0" collapsed="false">
      <c r="A128" s="72"/>
      <c r="B128" s="73"/>
      <c r="C128" s="73"/>
      <c r="D128" s="74" t="str">
        <f aca="false">IFERROR(INDEX(Categories!$B$2:$B$33,MATCH(C128,Categories!$A$2:$A$33,0)),"")</f>
        <v/>
      </c>
      <c r="E128" s="75"/>
      <c r="F128" s="74" t="str">
        <f aca="false">IF(A128="","",MONTH(A128))</f>
        <v/>
      </c>
      <c r="G128" s="73"/>
      <c r="H128" s="73"/>
    </row>
    <row r="129" customFormat="false" ht="15" hidden="false" customHeight="false" outlineLevel="0" collapsed="false">
      <c r="A129" s="76"/>
      <c r="B129" s="77"/>
      <c r="C129" s="77"/>
      <c r="D129" s="78" t="str">
        <f aca="false">IFERROR(INDEX(Categories!$B$2:$B$33,MATCH(C129,Categories!$A$2:$A$33,0)),"")</f>
        <v/>
      </c>
      <c r="E129" s="79"/>
      <c r="F129" s="78" t="str">
        <f aca="false">IF(A129="","",MONTH(A129))</f>
        <v/>
      </c>
      <c r="G129" s="77"/>
      <c r="H129" s="77"/>
    </row>
    <row r="130" customFormat="false" ht="15" hidden="false" customHeight="false" outlineLevel="0" collapsed="false">
      <c r="A130" s="72"/>
      <c r="B130" s="73"/>
      <c r="C130" s="73"/>
      <c r="D130" s="74" t="str">
        <f aca="false">IFERROR(INDEX(Categories!$B$2:$B$33,MATCH(C130,Categories!$A$2:$A$33,0)),"")</f>
        <v/>
      </c>
      <c r="E130" s="75"/>
      <c r="F130" s="74" t="str">
        <f aca="false">IF(A130="","",MONTH(A130))</f>
        <v/>
      </c>
      <c r="G130" s="73"/>
      <c r="H130" s="73"/>
    </row>
    <row r="131" customFormat="false" ht="15" hidden="false" customHeight="false" outlineLevel="0" collapsed="false">
      <c r="A131" s="76"/>
      <c r="B131" s="77"/>
      <c r="C131" s="77"/>
      <c r="D131" s="78" t="str">
        <f aca="false">IFERROR(INDEX(Categories!$B$2:$B$33,MATCH(C131,Categories!$A$2:$A$33,0)),"")</f>
        <v/>
      </c>
      <c r="E131" s="79"/>
      <c r="F131" s="78" t="str">
        <f aca="false">IF(A131="","",MONTH(A131))</f>
        <v/>
      </c>
      <c r="G131" s="77"/>
      <c r="H131" s="77"/>
    </row>
    <row r="132" customFormat="false" ht="15" hidden="false" customHeight="false" outlineLevel="0" collapsed="false">
      <c r="A132" s="72"/>
      <c r="B132" s="73"/>
      <c r="C132" s="73"/>
      <c r="D132" s="74" t="str">
        <f aca="false">IFERROR(INDEX(Categories!$B$2:$B$33,MATCH(C132,Categories!$A$2:$A$33,0)),"")</f>
        <v/>
      </c>
      <c r="E132" s="75"/>
      <c r="F132" s="74" t="str">
        <f aca="false">IF(A132="","",MONTH(A132))</f>
        <v/>
      </c>
      <c r="G132" s="73"/>
      <c r="H132" s="73"/>
    </row>
    <row r="133" customFormat="false" ht="15" hidden="false" customHeight="false" outlineLevel="0" collapsed="false">
      <c r="A133" s="76"/>
      <c r="B133" s="77"/>
      <c r="C133" s="77"/>
      <c r="D133" s="78" t="str">
        <f aca="false">IFERROR(INDEX(Categories!$B$2:$B$33,MATCH(C133,Categories!$A$2:$A$33,0)),"")</f>
        <v/>
      </c>
      <c r="E133" s="79"/>
      <c r="F133" s="78" t="str">
        <f aca="false">IF(A133="","",MONTH(A133))</f>
        <v/>
      </c>
      <c r="G133" s="77"/>
      <c r="H133" s="77"/>
    </row>
    <row r="134" customFormat="false" ht="15" hidden="false" customHeight="false" outlineLevel="0" collapsed="false">
      <c r="A134" s="72"/>
      <c r="B134" s="73"/>
      <c r="C134" s="73"/>
      <c r="D134" s="74" t="str">
        <f aca="false">IFERROR(INDEX(Categories!$B$2:$B$33,MATCH(C134,Categories!$A$2:$A$33,0)),"")</f>
        <v/>
      </c>
      <c r="E134" s="75"/>
      <c r="F134" s="74" t="str">
        <f aca="false">IF(A134="","",MONTH(A134))</f>
        <v/>
      </c>
      <c r="G134" s="73"/>
      <c r="H134" s="73"/>
    </row>
    <row r="135" customFormat="false" ht="15" hidden="false" customHeight="false" outlineLevel="0" collapsed="false">
      <c r="A135" s="76"/>
      <c r="B135" s="77"/>
      <c r="C135" s="77"/>
      <c r="D135" s="78" t="str">
        <f aca="false">IFERROR(INDEX(Categories!$B$2:$B$33,MATCH(C135,Categories!$A$2:$A$33,0)),"")</f>
        <v/>
      </c>
      <c r="E135" s="79"/>
      <c r="F135" s="78" t="str">
        <f aca="false">IF(A135="","",MONTH(A135))</f>
        <v/>
      </c>
      <c r="G135" s="77"/>
      <c r="H135" s="77"/>
    </row>
    <row r="136" customFormat="false" ht="15" hidden="false" customHeight="false" outlineLevel="0" collapsed="false">
      <c r="A136" s="72"/>
      <c r="B136" s="73"/>
      <c r="C136" s="73"/>
      <c r="D136" s="74" t="str">
        <f aca="false">IFERROR(INDEX(Categories!$B$2:$B$33,MATCH(C136,Categories!$A$2:$A$33,0)),"")</f>
        <v/>
      </c>
      <c r="E136" s="75"/>
      <c r="F136" s="74" t="str">
        <f aca="false">IF(A136="","",MONTH(A136))</f>
        <v/>
      </c>
      <c r="G136" s="73"/>
      <c r="H136" s="73"/>
    </row>
    <row r="137" customFormat="false" ht="15" hidden="false" customHeight="false" outlineLevel="0" collapsed="false">
      <c r="A137" s="76"/>
      <c r="B137" s="77"/>
      <c r="C137" s="77"/>
      <c r="D137" s="78" t="str">
        <f aca="false">IFERROR(INDEX(Categories!$B$2:$B$33,MATCH(C137,Categories!$A$2:$A$33,0)),"")</f>
        <v/>
      </c>
      <c r="E137" s="79"/>
      <c r="F137" s="78" t="str">
        <f aca="false">IF(A137="","",MONTH(A137))</f>
        <v/>
      </c>
      <c r="G137" s="77"/>
      <c r="H137" s="77"/>
    </row>
    <row r="138" customFormat="false" ht="15" hidden="false" customHeight="false" outlineLevel="0" collapsed="false">
      <c r="A138" s="72"/>
      <c r="B138" s="73"/>
      <c r="C138" s="73"/>
      <c r="D138" s="74" t="str">
        <f aca="false">IFERROR(INDEX(Categories!$B$2:$B$33,MATCH(C138,Categories!$A$2:$A$33,0)),"")</f>
        <v/>
      </c>
      <c r="E138" s="75"/>
      <c r="F138" s="74" t="str">
        <f aca="false">IF(A138="","",MONTH(A138))</f>
        <v/>
      </c>
      <c r="G138" s="73"/>
      <c r="H138" s="73"/>
    </row>
    <row r="139" customFormat="false" ht="15" hidden="false" customHeight="false" outlineLevel="0" collapsed="false">
      <c r="A139" s="76"/>
      <c r="B139" s="77"/>
      <c r="C139" s="77"/>
      <c r="D139" s="78" t="str">
        <f aca="false">IFERROR(INDEX(Categories!$B$2:$B$33,MATCH(C139,Categories!$A$2:$A$33,0)),"")</f>
        <v/>
      </c>
      <c r="E139" s="79"/>
      <c r="F139" s="78" t="str">
        <f aca="false">IF(A139="","",MONTH(A139))</f>
        <v/>
      </c>
      <c r="G139" s="77"/>
      <c r="H139" s="77"/>
    </row>
    <row r="140" customFormat="false" ht="15" hidden="false" customHeight="false" outlineLevel="0" collapsed="false">
      <c r="A140" s="72"/>
      <c r="B140" s="73"/>
      <c r="C140" s="73"/>
      <c r="D140" s="74" t="str">
        <f aca="false">IFERROR(INDEX(Categories!$B$2:$B$33,MATCH(C140,Categories!$A$2:$A$33,0)),"")</f>
        <v/>
      </c>
      <c r="E140" s="75"/>
      <c r="F140" s="74" t="str">
        <f aca="false">IF(A140="","",MONTH(A140))</f>
        <v/>
      </c>
      <c r="G140" s="73"/>
      <c r="H140" s="73"/>
    </row>
    <row r="141" customFormat="false" ht="15" hidden="false" customHeight="false" outlineLevel="0" collapsed="false">
      <c r="A141" s="76"/>
      <c r="B141" s="77"/>
      <c r="C141" s="77"/>
      <c r="D141" s="78" t="str">
        <f aca="false">IFERROR(INDEX(Categories!$B$2:$B$33,MATCH(C141,Categories!$A$2:$A$33,0)),"")</f>
        <v/>
      </c>
      <c r="E141" s="79"/>
      <c r="F141" s="78" t="str">
        <f aca="false">IF(A141="","",MONTH(A141))</f>
        <v/>
      </c>
      <c r="G141" s="77"/>
      <c r="H141" s="77"/>
    </row>
    <row r="142" customFormat="false" ht="15" hidden="false" customHeight="false" outlineLevel="0" collapsed="false">
      <c r="A142" s="72"/>
      <c r="B142" s="73"/>
      <c r="C142" s="73"/>
      <c r="D142" s="74" t="str">
        <f aca="false">IFERROR(INDEX(Categories!$B$2:$B$33,MATCH(C142,Categories!$A$2:$A$33,0)),"")</f>
        <v/>
      </c>
      <c r="E142" s="75"/>
      <c r="F142" s="74" t="str">
        <f aca="false">IF(A142="","",MONTH(A142))</f>
        <v/>
      </c>
      <c r="G142" s="73"/>
      <c r="H142" s="73"/>
    </row>
    <row r="143" customFormat="false" ht="15" hidden="false" customHeight="false" outlineLevel="0" collapsed="false">
      <c r="A143" s="76"/>
      <c r="B143" s="77"/>
      <c r="C143" s="77"/>
      <c r="D143" s="78" t="str">
        <f aca="false">IFERROR(INDEX(Categories!$B$2:$B$33,MATCH(C143,Categories!$A$2:$A$33,0)),"")</f>
        <v/>
      </c>
      <c r="E143" s="79"/>
      <c r="F143" s="78" t="str">
        <f aca="false">IF(A143="","",MONTH(A143))</f>
        <v/>
      </c>
      <c r="G143" s="77"/>
      <c r="H143" s="77"/>
    </row>
    <row r="144" customFormat="false" ht="15" hidden="false" customHeight="false" outlineLevel="0" collapsed="false">
      <c r="A144" s="72"/>
      <c r="B144" s="73"/>
      <c r="C144" s="73"/>
      <c r="D144" s="74" t="str">
        <f aca="false">IFERROR(INDEX(Categories!$B$2:$B$33,MATCH(C144,Categories!$A$2:$A$33,0)),"")</f>
        <v/>
      </c>
      <c r="E144" s="75"/>
      <c r="F144" s="74" t="str">
        <f aca="false">IF(A144="","",MONTH(A144))</f>
        <v/>
      </c>
      <c r="G144" s="73"/>
      <c r="H144" s="73"/>
    </row>
    <row r="145" customFormat="false" ht="15" hidden="false" customHeight="false" outlineLevel="0" collapsed="false">
      <c r="A145" s="76"/>
      <c r="B145" s="77"/>
      <c r="C145" s="77"/>
      <c r="D145" s="78" t="str">
        <f aca="false">IFERROR(INDEX(Categories!$B$2:$B$33,MATCH(C145,Categories!$A$2:$A$33,0)),"")</f>
        <v/>
      </c>
      <c r="E145" s="79"/>
      <c r="F145" s="78" t="str">
        <f aca="false">IF(A145="","",MONTH(A145))</f>
        <v/>
      </c>
      <c r="G145" s="77"/>
      <c r="H145" s="77"/>
    </row>
    <row r="146" customFormat="false" ht="15" hidden="false" customHeight="false" outlineLevel="0" collapsed="false">
      <c r="A146" s="72"/>
      <c r="B146" s="73"/>
      <c r="C146" s="73"/>
      <c r="D146" s="74" t="str">
        <f aca="false">IFERROR(INDEX(Categories!$B$2:$B$33,MATCH(C146,Categories!$A$2:$A$33,0)),"")</f>
        <v/>
      </c>
      <c r="E146" s="75"/>
      <c r="F146" s="74" t="str">
        <f aca="false">IF(A146="","",MONTH(A146))</f>
        <v/>
      </c>
      <c r="G146" s="73"/>
      <c r="H146" s="73"/>
    </row>
    <row r="147" customFormat="false" ht="15" hidden="false" customHeight="false" outlineLevel="0" collapsed="false">
      <c r="A147" s="76"/>
      <c r="B147" s="77"/>
      <c r="C147" s="77"/>
      <c r="D147" s="78" t="str">
        <f aca="false">IFERROR(INDEX(Categories!$B$2:$B$33,MATCH(C147,Categories!$A$2:$A$33,0)),"")</f>
        <v/>
      </c>
      <c r="E147" s="79"/>
      <c r="F147" s="78" t="str">
        <f aca="false">IF(A147="","",MONTH(A147))</f>
        <v/>
      </c>
      <c r="G147" s="77"/>
      <c r="H147" s="77"/>
    </row>
    <row r="148" customFormat="false" ht="15" hidden="false" customHeight="false" outlineLevel="0" collapsed="false">
      <c r="A148" s="72"/>
      <c r="B148" s="73"/>
      <c r="C148" s="73"/>
      <c r="D148" s="74" t="str">
        <f aca="false">IFERROR(INDEX(Categories!$B$2:$B$33,MATCH(C148,Categories!$A$2:$A$33,0)),"")</f>
        <v/>
      </c>
      <c r="E148" s="75"/>
      <c r="F148" s="74" t="str">
        <f aca="false">IF(A148="","",MONTH(A148))</f>
        <v/>
      </c>
      <c r="G148" s="73"/>
      <c r="H148" s="73"/>
    </row>
    <row r="149" customFormat="false" ht="15" hidden="false" customHeight="false" outlineLevel="0" collapsed="false">
      <c r="A149" s="76"/>
      <c r="B149" s="77"/>
      <c r="C149" s="77"/>
      <c r="D149" s="78" t="str">
        <f aca="false">IFERROR(INDEX(Categories!$B$2:$B$33,MATCH(C149,Categories!$A$2:$A$33,0)),"")</f>
        <v/>
      </c>
      <c r="E149" s="79"/>
      <c r="F149" s="78" t="str">
        <f aca="false">IF(A149="","",MONTH(A149))</f>
        <v/>
      </c>
      <c r="G149" s="77"/>
      <c r="H149" s="77"/>
    </row>
    <row r="150" customFormat="false" ht="15" hidden="false" customHeight="false" outlineLevel="0" collapsed="false">
      <c r="A150" s="72"/>
      <c r="B150" s="73"/>
      <c r="C150" s="73"/>
      <c r="D150" s="74" t="str">
        <f aca="false">IFERROR(INDEX(Categories!$B$2:$B$33,MATCH(C150,Categories!$A$2:$A$33,0)),"")</f>
        <v/>
      </c>
      <c r="E150" s="75"/>
      <c r="F150" s="74" t="str">
        <f aca="false">IF(A150="","",MONTH(A150))</f>
        <v/>
      </c>
      <c r="G150" s="73"/>
      <c r="H150" s="73"/>
    </row>
    <row r="151" customFormat="false" ht="15" hidden="false" customHeight="false" outlineLevel="0" collapsed="false">
      <c r="A151" s="76"/>
      <c r="B151" s="77"/>
      <c r="C151" s="77"/>
      <c r="D151" s="78" t="str">
        <f aca="false">IFERROR(INDEX(Categories!$B$2:$B$33,MATCH(C151,Categories!$A$2:$A$33,0)),"")</f>
        <v/>
      </c>
      <c r="E151" s="79"/>
      <c r="F151" s="78" t="str">
        <f aca="false">IF(A151="","",MONTH(A151))</f>
        <v/>
      </c>
      <c r="G151" s="77"/>
      <c r="H151" s="77"/>
    </row>
    <row r="152" customFormat="false" ht="15" hidden="false" customHeight="false" outlineLevel="0" collapsed="false">
      <c r="A152" s="72"/>
      <c r="B152" s="73"/>
      <c r="C152" s="73"/>
      <c r="D152" s="74" t="str">
        <f aca="false">IFERROR(INDEX(Categories!$B$2:$B$33,MATCH(C152,Categories!$A$2:$A$33,0)),"")</f>
        <v/>
      </c>
      <c r="E152" s="75"/>
      <c r="F152" s="74" t="str">
        <f aca="false">IF(A152="","",MONTH(A152))</f>
        <v/>
      </c>
      <c r="G152" s="73"/>
      <c r="H152" s="73"/>
    </row>
    <row r="153" customFormat="false" ht="15" hidden="false" customHeight="false" outlineLevel="0" collapsed="false">
      <c r="A153" s="76"/>
      <c r="B153" s="77"/>
      <c r="C153" s="77"/>
      <c r="D153" s="78" t="str">
        <f aca="false">IFERROR(INDEX(Categories!$B$2:$B$33,MATCH(C153,Categories!$A$2:$A$33,0)),"")</f>
        <v/>
      </c>
      <c r="E153" s="79"/>
      <c r="F153" s="78" t="str">
        <f aca="false">IF(A153="","",MONTH(A153))</f>
        <v/>
      </c>
      <c r="G153" s="77"/>
      <c r="H153" s="77"/>
    </row>
    <row r="154" customFormat="false" ht="15" hidden="false" customHeight="false" outlineLevel="0" collapsed="false">
      <c r="A154" s="72"/>
      <c r="B154" s="73"/>
      <c r="C154" s="73"/>
      <c r="D154" s="74" t="str">
        <f aca="false">IFERROR(INDEX(Categories!$B$2:$B$33,MATCH(C154,Categories!$A$2:$A$33,0)),"")</f>
        <v/>
      </c>
      <c r="E154" s="75"/>
      <c r="F154" s="74" t="str">
        <f aca="false">IF(A154="","",MONTH(A154))</f>
        <v/>
      </c>
      <c r="G154" s="73"/>
      <c r="H154" s="73"/>
    </row>
    <row r="155" customFormat="false" ht="15" hidden="false" customHeight="false" outlineLevel="0" collapsed="false">
      <c r="A155" s="76"/>
      <c r="B155" s="77"/>
      <c r="C155" s="77"/>
      <c r="D155" s="78" t="str">
        <f aca="false">IFERROR(INDEX(Categories!$B$2:$B$33,MATCH(C155,Categories!$A$2:$A$33,0)),"")</f>
        <v/>
      </c>
      <c r="E155" s="79"/>
      <c r="F155" s="78" t="str">
        <f aca="false">IF(A155="","",MONTH(A155))</f>
        <v/>
      </c>
      <c r="G155" s="77"/>
      <c r="H155" s="77"/>
    </row>
    <row r="156" customFormat="false" ht="15" hidden="false" customHeight="false" outlineLevel="0" collapsed="false">
      <c r="A156" s="72"/>
      <c r="B156" s="73"/>
      <c r="C156" s="73"/>
      <c r="D156" s="74" t="str">
        <f aca="false">IFERROR(INDEX(Categories!$B$2:$B$33,MATCH(C156,Categories!$A$2:$A$33,0)),"")</f>
        <v/>
      </c>
      <c r="E156" s="75"/>
      <c r="F156" s="74" t="str">
        <f aca="false">IF(A156="","",MONTH(A156))</f>
        <v/>
      </c>
      <c r="G156" s="73"/>
      <c r="H156" s="73"/>
    </row>
    <row r="157" customFormat="false" ht="15" hidden="false" customHeight="false" outlineLevel="0" collapsed="false">
      <c r="A157" s="76"/>
      <c r="B157" s="77"/>
      <c r="C157" s="77"/>
      <c r="D157" s="78" t="str">
        <f aca="false">IFERROR(INDEX(Categories!$B$2:$B$33,MATCH(C157,Categories!$A$2:$A$33,0)),"")</f>
        <v/>
      </c>
      <c r="E157" s="79"/>
      <c r="F157" s="78" t="str">
        <f aca="false">IF(A157="","",MONTH(A157))</f>
        <v/>
      </c>
      <c r="G157" s="77"/>
      <c r="H157" s="77"/>
    </row>
    <row r="158" customFormat="false" ht="15" hidden="false" customHeight="false" outlineLevel="0" collapsed="false">
      <c r="A158" s="72"/>
      <c r="B158" s="73"/>
      <c r="C158" s="73"/>
      <c r="D158" s="74" t="str">
        <f aca="false">IFERROR(INDEX(Categories!$B$2:$B$33,MATCH(C158,Categories!$A$2:$A$33,0)),"")</f>
        <v/>
      </c>
      <c r="E158" s="75"/>
      <c r="F158" s="74" t="str">
        <f aca="false">IF(A158="","",MONTH(A158))</f>
        <v/>
      </c>
      <c r="G158" s="73"/>
      <c r="H158" s="73"/>
    </row>
    <row r="159" customFormat="false" ht="15" hidden="false" customHeight="false" outlineLevel="0" collapsed="false">
      <c r="A159" s="76"/>
      <c r="B159" s="77"/>
      <c r="C159" s="77"/>
      <c r="D159" s="78" t="str">
        <f aca="false">IFERROR(INDEX(Categories!$B$2:$B$33,MATCH(C159,Categories!$A$2:$A$33,0)),"")</f>
        <v/>
      </c>
      <c r="E159" s="79"/>
      <c r="F159" s="78" t="str">
        <f aca="false">IF(A159="","",MONTH(A159))</f>
        <v/>
      </c>
      <c r="G159" s="77"/>
      <c r="H159" s="77"/>
    </row>
    <row r="160" customFormat="false" ht="15" hidden="false" customHeight="false" outlineLevel="0" collapsed="false">
      <c r="A160" s="72"/>
      <c r="B160" s="73"/>
      <c r="C160" s="73"/>
      <c r="D160" s="74" t="str">
        <f aca="false">IFERROR(INDEX(Categories!$B$2:$B$33,MATCH(C160,Categories!$A$2:$A$33,0)),"")</f>
        <v/>
      </c>
      <c r="E160" s="75"/>
      <c r="F160" s="74" t="str">
        <f aca="false">IF(A160="","",MONTH(A160))</f>
        <v/>
      </c>
      <c r="G160" s="73"/>
      <c r="H160" s="73"/>
    </row>
    <row r="161" customFormat="false" ht="15" hidden="false" customHeight="false" outlineLevel="0" collapsed="false">
      <c r="A161" s="76"/>
      <c r="B161" s="77"/>
      <c r="C161" s="77"/>
      <c r="D161" s="78" t="str">
        <f aca="false">IFERROR(INDEX(Categories!$B$2:$B$33,MATCH(C161,Categories!$A$2:$A$33,0)),"")</f>
        <v/>
      </c>
      <c r="E161" s="79"/>
      <c r="F161" s="78" t="str">
        <f aca="false">IF(A161="","",MONTH(A161))</f>
        <v/>
      </c>
      <c r="G161" s="77"/>
      <c r="H161" s="77"/>
    </row>
    <row r="162" customFormat="false" ht="15" hidden="false" customHeight="false" outlineLevel="0" collapsed="false">
      <c r="A162" s="72"/>
      <c r="B162" s="73"/>
      <c r="C162" s="73"/>
      <c r="D162" s="74" t="str">
        <f aca="false">IFERROR(INDEX(Categories!$B$2:$B$33,MATCH(C162,Categories!$A$2:$A$33,0)),"")</f>
        <v/>
      </c>
      <c r="E162" s="75"/>
      <c r="F162" s="74" t="str">
        <f aca="false">IF(A162="","",MONTH(A162))</f>
        <v/>
      </c>
      <c r="G162" s="73"/>
      <c r="H162" s="73"/>
    </row>
    <row r="163" customFormat="false" ht="15" hidden="false" customHeight="false" outlineLevel="0" collapsed="false">
      <c r="A163" s="76"/>
      <c r="B163" s="77"/>
      <c r="C163" s="77"/>
      <c r="D163" s="78" t="str">
        <f aca="false">IFERROR(INDEX(Categories!$B$2:$B$33,MATCH(C163,Categories!$A$2:$A$33,0)),"")</f>
        <v/>
      </c>
      <c r="E163" s="79"/>
      <c r="F163" s="78" t="str">
        <f aca="false">IF(A163="","",MONTH(A163))</f>
        <v/>
      </c>
      <c r="G163" s="77"/>
      <c r="H163" s="77"/>
    </row>
    <row r="164" customFormat="false" ht="15" hidden="false" customHeight="false" outlineLevel="0" collapsed="false">
      <c r="A164" s="72"/>
      <c r="B164" s="73"/>
      <c r="C164" s="73"/>
      <c r="D164" s="74" t="str">
        <f aca="false">IFERROR(INDEX(Categories!$B$2:$B$33,MATCH(C164,Categories!$A$2:$A$33,0)),"")</f>
        <v/>
      </c>
      <c r="E164" s="75"/>
      <c r="F164" s="74" t="str">
        <f aca="false">IF(A164="","",MONTH(A164))</f>
        <v/>
      </c>
      <c r="G164" s="73"/>
      <c r="H164" s="73"/>
    </row>
    <row r="165" customFormat="false" ht="15" hidden="false" customHeight="false" outlineLevel="0" collapsed="false">
      <c r="A165" s="76"/>
      <c r="B165" s="77"/>
      <c r="C165" s="77"/>
      <c r="D165" s="78" t="str">
        <f aca="false">IFERROR(INDEX(Categories!$B$2:$B$33,MATCH(C165,Categories!$A$2:$A$33,0)),"")</f>
        <v/>
      </c>
      <c r="E165" s="79"/>
      <c r="F165" s="78" t="str">
        <f aca="false">IF(A165="","",MONTH(A165))</f>
        <v/>
      </c>
      <c r="G165" s="77"/>
      <c r="H165" s="77"/>
    </row>
    <row r="166" customFormat="false" ht="15" hidden="false" customHeight="false" outlineLevel="0" collapsed="false">
      <c r="A166" s="72"/>
      <c r="B166" s="73"/>
      <c r="C166" s="73"/>
      <c r="D166" s="74" t="str">
        <f aca="false">IFERROR(INDEX(Categories!$B$2:$B$33,MATCH(C166,Categories!$A$2:$A$33,0)),"")</f>
        <v/>
      </c>
      <c r="E166" s="75"/>
      <c r="F166" s="74" t="str">
        <f aca="false">IF(A166="","",MONTH(A166))</f>
        <v/>
      </c>
      <c r="G166" s="73"/>
      <c r="H166" s="73"/>
    </row>
    <row r="167" customFormat="false" ht="15" hidden="false" customHeight="false" outlineLevel="0" collapsed="false">
      <c r="A167" s="76"/>
      <c r="B167" s="77"/>
      <c r="C167" s="77"/>
      <c r="D167" s="78" t="str">
        <f aca="false">IFERROR(INDEX(Categories!$B$2:$B$33,MATCH(C167,Categories!$A$2:$A$33,0)),"")</f>
        <v/>
      </c>
      <c r="E167" s="79"/>
      <c r="F167" s="78" t="str">
        <f aca="false">IF(A167="","",MONTH(A167))</f>
        <v/>
      </c>
      <c r="G167" s="77"/>
      <c r="H167" s="77"/>
    </row>
    <row r="168" customFormat="false" ht="15" hidden="false" customHeight="false" outlineLevel="0" collapsed="false">
      <c r="A168" s="72"/>
      <c r="B168" s="73"/>
      <c r="C168" s="73"/>
      <c r="D168" s="74" t="str">
        <f aca="false">IFERROR(INDEX(Categories!$B$2:$B$33,MATCH(C168,Categories!$A$2:$A$33,0)),"")</f>
        <v/>
      </c>
      <c r="E168" s="75"/>
      <c r="F168" s="74" t="str">
        <f aca="false">IF(A168="","",MONTH(A168))</f>
        <v/>
      </c>
      <c r="G168" s="73"/>
      <c r="H168" s="73"/>
    </row>
    <row r="169" customFormat="false" ht="15" hidden="false" customHeight="false" outlineLevel="0" collapsed="false">
      <c r="A169" s="76"/>
      <c r="B169" s="77"/>
      <c r="C169" s="77"/>
      <c r="D169" s="78" t="str">
        <f aca="false">IFERROR(INDEX(Categories!$B$2:$B$33,MATCH(C169,Categories!$A$2:$A$33,0)),"")</f>
        <v/>
      </c>
      <c r="E169" s="79"/>
      <c r="F169" s="78" t="str">
        <f aca="false">IF(A169="","",MONTH(A169))</f>
        <v/>
      </c>
      <c r="G169" s="77"/>
      <c r="H169" s="77"/>
    </row>
    <row r="170" customFormat="false" ht="15" hidden="false" customHeight="false" outlineLevel="0" collapsed="false">
      <c r="A170" s="72"/>
      <c r="B170" s="73"/>
      <c r="C170" s="73"/>
      <c r="D170" s="74" t="str">
        <f aca="false">IFERROR(INDEX(Categories!$B$2:$B$33,MATCH(C170,Categories!$A$2:$A$33,0)),"")</f>
        <v/>
      </c>
      <c r="E170" s="75"/>
      <c r="F170" s="74" t="str">
        <f aca="false">IF(A170="","",MONTH(A170))</f>
        <v/>
      </c>
      <c r="G170" s="73"/>
      <c r="H170" s="73"/>
    </row>
    <row r="171" customFormat="false" ht="15" hidden="false" customHeight="false" outlineLevel="0" collapsed="false">
      <c r="A171" s="76"/>
      <c r="B171" s="77"/>
      <c r="C171" s="77"/>
      <c r="D171" s="78" t="str">
        <f aca="false">IFERROR(INDEX(Categories!$B$2:$B$33,MATCH(C171,Categories!$A$2:$A$33,0)),"")</f>
        <v/>
      </c>
      <c r="E171" s="79"/>
      <c r="F171" s="78" t="str">
        <f aca="false">IF(A171="","",MONTH(A171))</f>
        <v/>
      </c>
      <c r="G171" s="77"/>
      <c r="H171" s="77"/>
    </row>
    <row r="172" customFormat="false" ht="15" hidden="false" customHeight="false" outlineLevel="0" collapsed="false">
      <c r="A172" s="72"/>
      <c r="B172" s="73"/>
      <c r="C172" s="73"/>
      <c r="D172" s="74" t="str">
        <f aca="false">IFERROR(INDEX(Categories!$B$2:$B$33,MATCH(C172,Categories!$A$2:$A$33,0)),"")</f>
        <v/>
      </c>
      <c r="E172" s="75"/>
      <c r="F172" s="74" t="str">
        <f aca="false">IF(A172="","",MONTH(A172))</f>
        <v/>
      </c>
      <c r="G172" s="73"/>
      <c r="H172" s="73"/>
    </row>
    <row r="173" customFormat="false" ht="15" hidden="false" customHeight="false" outlineLevel="0" collapsed="false">
      <c r="A173" s="76"/>
      <c r="B173" s="77"/>
      <c r="C173" s="77"/>
      <c r="D173" s="78" t="str">
        <f aca="false">IFERROR(INDEX(Categories!$B$2:$B$33,MATCH(C173,Categories!$A$2:$A$33,0)),"")</f>
        <v/>
      </c>
      <c r="E173" s="79"/>
      <c r="F173" s="78" t="str">
        <f aca="false">IF(A173="","",MONTH(A173))</f>
        <v/>
      </c>
      <c r="G173" s="77"/>
      <c r="H173" s="77"/>
    </row>
    <row r="174" customFormat="false" ht="15" hidden="false" customHeight="false" outlineLevel="0" collapsed="false">
      <c r="A174" s="72"/>
      <c r="B174" s="73"/>
      <c r="C174" s="73"/>
      <c r="D174" s="74" t="str">
        <f aca="false">IFERROR(INDEX(Categories!$B$2:$B$33,MATCH(C174,Categories!$A$2:$A$33,0)),"")</f>
        <v/>
      </c>
      <c r="E174" s="75"/>
      <c r="F174" s="74" t="str">
        <f aca="false">IF(A174="","",MONTH(A174))</f>
        <v/>
      </c>
      <c r="G174" s="73"/>
      <c r="H174" s="73"/>
    </row>
    <row r="175" customFormat="false" ht="15" hidden="false" customHeight="false" outlineLevel="0" collapsed="false">
      <c r="A175" s="76"/>
      <c r="B175" s="77"/>
      <c r="C175" s="77"/>
      <c r="D175" s="78" t="str">
        <f aca="false">IFERROR(INDEX(Categories!$B$2:$B$33,MATCH(C175,Categories!$A$2:$A$33,0)),"")</f>
        <v/>
      </c>
      <c r="E175" s="79"/>
      <c r="F175" s="78" t="str">
        <f aca="false">IF(A175="","",MONTH(A175))</f>
        <v/>
      </c>
      <c r="G175" s="77"/>
      <c r="H175" s="77"/>
    </row>
    <row r="176" customFormat="false" ht="15" hidden="false" customHeight="false" outlineLevel="0" collapsed="false">
      <c r="A176" s="72"/>
      <c r="B176" s="73"/>
      <c r="C176" s="73"/>
      <c r="D176" s="74" t="str">
        <f aca="false">IFERROR(INDEX(Categories!$B$2:$B$33,MATCH(C176,Categories!$A$2:$A$33,0)),"")</f>
        <v/>
      </c>
      <c r="E176" s="75"/>
      <c r="F176" s="74" t="str">
        <f aca="false">IF(A176="","",MONTH(A176))</f>
        <v/>
      </c>
      <c r="G176" s="73"/>
      <c r="H176" s="73"/>
    </row>
    <row r="177" customFormat="false" ht="15" hidden="false" customHeight="false" outlineLevel="0" collapsed="false">
      <c r="A177" s="76"/>
      <c r="B177" s="77"/>
      <c r="C177" s="77"/>
      <c r="D177" s="78" t="str">
        <f aca="false">IFERROR(INDEX(Categories!$B$2:$B$33,MATCH(C177,Categories!$A$2:$A$33,0)),"")</f>
        <v/>
      </c>
      <c r="E177" s="79"/>
      <c r="F177" s="78" t="str">
        <f aca="false">IF(A177="","",MONTH(A177))</f>
        <v/>
      </c>
      <c r="G177" s="77"/>
      <c r="H177" s="77"/>
    </row>
    <row r="178" customFormat="false" ht="15" hidden="false" customHeight="false" outlineLevel="0" collapsed="false">
      <c r="A178" s="72"/>
      <c r="B178" s="73"/>
      <c r="C178" s="73"/>
      <c r="D178" s="74" t="str">
        <f aca="false">IFERROR(INDEX(Categories!$B$2:$B$33,MATCH(C178,Categories!$A$2:$A$33,0)),"")</f>
        <v/>
      </c>
      <c r="E178" s="75"/>
      <c r="F178" s="74" t="str">
        <f aca="false">IF(A178="","",MONTH(A178))</f>
        <v/>
      </c>
      <c r="G178" s="73"/>
      <c r="H178" s="73"/>
    </row>
    <row r="179" customFormat="false" ht="15" hidden="false" customHeight="false" outlineLevel="0" collapsed="false">
      <c r="A179" s="76"/>
      <c r="B179" s="77"/>
      <c r="C179" s="77"/>
      <c r="D179" s="78" t="str">
        <f aca="false">IFERROR(INDEX(Categories!$B$2:$B$33,MATCH(C179,Categories!$A$2:$A$33,0)),"")</f>
        <v/>
      </c>
      <c r="E179" s="79"/>
      <c r="F179" s="78" t="str">
        <f aca="false">IF(A179="","",MONTH(A179))</f>
        <v/>
      </c>
      <c r="G179" s="77"/>
      <c r="H179" s="77"/>
    </row>
    <row r="180" customFormat="false" ht="15" hidden="false" customHeight="false" outlineLevel="0" collapsed="false">
      <c r="A180" s="72"/>
      <c r="B180" s="73"/>
      <c r="C180" s="73"/>
      <c r="D180" s="74" t="str">
        <f aca="false">IFERROR(INDEX(Categories!$B$2:$B$33,MATCH(C180,Categories!$A$2:$A$33,0)),"")</f>
        <v/>
      </c>
      <c r="E180" s="75"/>
      <c r="F180" s="74" t="str">
        <f aca="false">IF(A180="","",MONTH(A180))</f>
        <v/>
      </c>
      <c r="G180" s="73"/>
      <c r="H180" s="73"/>
    </row>
    <row r="181" customFormat="false" ht="15" hidden="false" customHeight="false" outlineLevel="0" collapsed="false">
      <c r="A181" s="76"/>
      <c r="B181" s="77"/>
      <c r="C181" s="77"/>
      <c r="D181" s="78" t="str">
        <f aca="false">IFERROR(INDEX(Categories!$B$2:$B$33,MATCH(C181,Categories!$A$2:$A$33,0)),"")</f>
        <v/>
      </c>
      <c r="E181" s="79"/>
      <c r="F181" s="78" t="str">
        <f aca="false">IF(A181="","",MONTH(A181))</f>
        <v/>
      </c>
      <c r="G181" s="77"/>
      <c r="H181" s="77"/>
    </row>
    <row r="182" customFormat="false" ht="15" hidden="false" customHeight="false" outlineLevel="0" collapsed="false">
      <c r="A182" s="72"/>
      <c r="B182" s="73"/>
      <c r="C182" s="73"/>
      <c r="D182" s="74" t="str">
        <f aca="false">IFERROR(INDEX(Categories!$B$2:$B$33,MATCH(C182,Categories!$A$2:$A$33,0)),"")</f>
        <v/>
      </c>
      <c r="E182" s="75"/>
      <c r="F182" s="74" t="str">
        <f aca="false">IF(A182="","",MONTH(A182))</f>
        <v/>
      </c>
      <c r="G182" s="73"/>
      <c r="H182" s="73"/>
    </row>
    <row r="183" customFormat="false" ht="15" hidden="false" customHeight="false" outlineLevel="0" collapsed="false">
      <c r="A183" s="76"/>
      <c r="B183" s="77"/>
      <c r="C183" s="77"/>
      <c r="D183" s="78" t="str">
        <f aca="false">IFERROR(INDEX(Categories!$B$2:$B$33,MATCH(C183,Categories!$A$2:$A$33,0)),"")</f>
        <v/>
      </c>
      <c r="E183" s="79"/>
      <c r="F183" s="78" t="str">
        <f aca="false">IF(A183="","",MONTH(A183))</f>
        <v/>
      </c>
      <c r="G183" s="77"/>
      <c r="H183" s="77"/>
    </row>
    <row r="184" customFormat="false" ht="15" hidden="false" customHeight="false" outlineLevel="0" collapsed="false">
      <c r="A184" s="72"/>
      <c r="B184" s="73"/>
      <c r="C184" s="73"/>
      <c r="D184" s="74" t="str">
        <f aca="false">IFERROR(INDEX(Categories!$B$2:$B$33,MATCH(C184,Categories!$A$2:$A$33,0)),"")</f>
        <v/>
      </c>
      <c r="E184" s="75"/>
      <c r="F184" s="74" t="str">
        <f aca="false">IF(A184="","",MONTH(A184))</f>
        <v/>
      </c>
      <c r="G184" s="73"/>
      <c r="H184" s="73"/>
    </row>
    <row r="185" customFormat="false" ht="15" hidden="false" customHeight="false" outlineLevel="0" collapsed="false">
      <c r="A185" s="76"/>
      <c r="B185" s="77"/>
      <c r="C185" s="77"/>
      <c r="D185" s="78" t="str">
        <f aca="false">IFERROR(INDEX(Categories!$B$2:$B$33,MATCH(C185,Categories!$A$2:$A$33,0)),"")</f>
        <v/>
      </c>
      <c r="E185" s="79"/>
      <c r="F185" s="78" t="str">
        <f aca="false">IF(A185="","",MONTH(A185))</f>
        <v/>
      </c>
      <c r="G185" s="77"/>
      <c r="H185" s="77"/>
    </row>
    <row r="186" customFormat="false" ht="15" hidden="false" customHeight="false" outlineLevel="0" collapsed="false">
      <c r="A186" s="72"/>
      <c r="B186" s="73"/>
      <c r="C186" s="73"/>
      <c r="D186" s="74" t="str">
        <f aca="false">IFERROR(INDEX(Categories!$B$2:$B$33,MATCH(C186,Categories!$A$2:$A$33,0)),"")</f>
        <v/>
      </c>
      <c r="E186" s="75"/>
      <c r="F186" s="74" t="str">
        <f aca="false">IF(A186="","",MONTH(A186))</f>
        <v/>
      </c>
      <c r="G186" s="73"/>
      <c r="H186" s="73"/>
    </row>
    <row r="187" customFormat="false" ht="15" hidden="false" customHeight="false" outlineLevel="0" collapsed="false">
      <c r="A187" s="76"/>
      <c r="B187" s="77"/>
      <c r="C187" s="77"/>
      <c r="D187" s="78" t="str">
        <f aca="false">IFERROR(INDEX(Categories!$B$2:$B$33,MATCH(C187,Categories!$A$2:$A$33,0)),"")</f>
        <v/>
      </c>
      <c r="E187" s="79"/>
      <c r="F187" s="78" t="str">
        <f aca="false">IF(A187="","",MONTH(A187))</f>
        <v/>
      </c>
      <c r="G187" s="77"/>
      <c r="H187" s="77"/>
    </row>
    <row r="188" customFormat="false" ht="15" hidden="false" customHeight="false" outlineLevel="0" collapsed="false">
      <c r="A188" s="72"/>
      <c r="B188" s="73"/>
      <c r="C188" s="73"/>
      <c r="D188" s="74" t="str">
        <f aca="false">IFERROR(INDEX(Categories!$B$2:$B$33,MATCH(C188,Categories!$A$2:$A$33,0)),"")</f>
        <v/>
      </c>
      <c r="E188" s="75"/>
      <c r="F188" s="74" t="str">
        <f aca="false">IF(A188="","",MONTH(A188))</f>
        <v/>
      </c>
      <c r="G188" s="73"/>
      <c r="H188" s="73"/>
    </row>
    <row r="189" customFormat="false" ht="15" hidden="false" customHeight="false" outlineLevel="0" collapsed="false">
      <c r="A189" s="76"/>
      <c r="B189" s="77"/>
      <c r="C189" s="77"/>
      <c r="D189" s="78" t="str">
        <f aca="false">IFERROR(INDEX(Categories!$B$2:$B$33,MATCH(C189,Categories!$A$2:$A$33,0)),"")</f>
        <v/>
      </c>
      <c r="E189" s="79"/>
      <c r="F189" s="78" t="str">
        <f aca="false">IF(A189="","",MONTH(A189))</f>
        <v/>
      </c>
      <c r="G189" s="77"/>
      <c r="H189" s="77"/>
    </row>
    <row r="190" customFormat="false" ht="15" hidden="false" customHeight="false" outlineLevel="0" collapsed="false">
      <c r="A190" s="72"/>
      <c r="B190" s="73"/>
      <c r="C190" s="73"/>
      <c r="D190" s="74" t="str">
        <f aca="false">IFERROR(INDEX(Categories!$B$2:$B$33,MATCH(C190,Categories!$A$2:$A$33,0)),"")</f>
        <v/>
      </c>
      <c r="E190" s="75"/>
      <c r="F190" s="74" t="str">
        <f aca="false">IF(A190="","",MONTH(A190))</f>
        <v/>
      </c>
      <c r="G190" s="73"/>
      <c r="H190" s="73"/>
    </row>
    <row r="191" customFormat="false" ht="15" hidden="false" customHeight="false" outlineLevel="0" collapsed="false">
      <c r="A191" s="76"/>
      <c r="B191" s="77"/>
      <c r="C191" s="77"/>
      <c r="D191" s="78" t="str">
        <f aca="false">IFERROR(INDEX(Categories!$B$2:$B$33,MATCH(C191,Categories!$A$2:$A$33,0)),"")</f>
        <v/>
      </c>
      <c r="E191" s="79"/>
      <c r="F191" s="78" t="str">
        <f aca="false">IF(A191="","",MONTH(A191))</f>
        <v/>
      </c>
      <c r="G191" s="77"/>
      <c r="H191" s="77"/>
    </row>
    <row r="192" customFormat="false" ht="15" hidden="false" customHeight="false" outlineLevel="0" collapsed="false">
      <c r="A192" s="72"/>
      <c r="B192" s="73"/>
      <c r="C192" s="73"/>
      <c r="D192" s="74" t="str">
        <f aca="false">IFERROR(INDEX(Categories!$B$2:$B$33,MATCH(C192,Categories!$A$2:$A$33,0)),"")</f>
        <v/>
      </c>
      <c r="E192" s="75"/>
      <c r="F192" s="74" t="str">
        <f aca="false">IF(A192="","",MONTH(A192))</f>
        <v/>
      </c>
      <c r="G192" s="73"/>
      <c r="H192" s="73"/>
    </row>
    <row r="193" customFormat="false" ht="15" hidden="false" customHeight="false" outlineLevel="0" collapsed="false">
      <c r="A193" s="76"/>
      <c r="B193" s="77"/>
      <c r="C193" s="77"/>
      <c r="D193" s="78" t="str">
        <f aca="false">IFERROR(INDEX(Categories!$B$2:$B$33,MATCH(C193,Categories!$A$2:$A$33,0)),"")</f>
        <v/>
      </c>
      <c r="E193" s="79"/>
      <c r="F193" s="78" t="str">
        <f aca="false">IF(A193="","",MONTH(A193))</f>
        <v/>
      </c>
      <c r="G193" s="77"/>
      <c r="H193" s="77"/>
    </row>
    <row r="194" customFormat="false" ht="15" hidden="false" customHeight="false" outlineLevel="0" collapsed="false">
      <c r="A194" s="72"/>
      <c r="B194" s="73"/>
      <c r="C194" s="73"/>
      <c r="D194" s="74" t="str">
        <f aca="false">IFERROR(INDEX(Categories!$B$2:$B$33,MATCH(C194,Categories!$A$2:$A$33,0)),"")</f>
        <v/>
      </c>
      <c r="E194" s="75"/>
      <c r="F194" s="74" t="str">
        <f aca="false">IF(A194="","",MONTH(A194))</f>
        <v/>
      </c>
      <c r="G194" s="73"/>
      <c r="H194" s="73"/>
    </row>
    <row r="195" customFormat="false" ht="15" hidden="false" customHeight="false" outlineLevel="0" collapsed="false">
      <c r="A195" s="76"/>
      <c r="B195" s="77"/>
      <c r="C195" s="77"/>
      <c r="D195" s="78" t="str">
        <f aca="false">IFERROR(INDEX(Categories!$B$2:$B$33,MATCH(C195,Categories!$A$2:$A$33,0)),"")</f>
        <v/>
      </c>
      <c r="E195" s="79"/>
      <c r="F195" s="78" t="str">
        <f aca="false">IF(A195="","",MONTH(A195))</f>
        <v/>
      </c>
      <c r="G195" s="77"/>
      <c r="H195" s="77"/>
    </row>
    <row r="196" customFormat="false" ht="15" hidden="false" customHeight="false" outlineLevel="0" collapsed="false">
      <c r="A196" s="72"/>
      <c r="B196" s="73"/>
      <c r="C196" s="73"/>
      <c r="D196" s="74" t="str">
        <f aca="false">IFERROR(INDEX(Categories!$B$2:$B$33,MATCH(C196,Categories!$A$2:$A$33,0)),"")</f>
        <v/>
      </c>
      <c r="E196" s="75"/>
      <c r="F196" s="74" t="str">
        <f aca="false">IF(A196="","",MONTH(A196))</f>
        <v/>
      </c>
      <c r="G196" s="73"/>
      <c r="H196" s="73"/>
    </row>
    <row r="197" customFormat="false" ht="15" hidden="false" customHeight="false" outlineLevel="0" collapsed="false">
      <c r="A197" s="76"/>
      <c r="B197" s="77"/>
      <c r="C197" s="77"/>
      <c r="D197" s="78" t="str">
        <f aca="false">IFERROR(INDEX(Categories!$B$2:$B$33,MATCH(C197,Categories!$A$2:$A$33,0)),"")</f>
        <v/>
      </c>
      <c r="E197" s="79"/>
      <c r="F197" s="78" t="str">
        <f aca="false">IF(A197="","",MONTH(A197))</f>
        <v/>
      </c>
      <c r="G197" s="77"/>
      <c r="H197" s="77"/>
    </row>
    <row r="198" customFormat="false" ht="15" hidden="false" customHeight="false" outlineLevel="0" collapsed="false">
      <c r="A198" s="72"/>
      <c r="B198" s="73"/>
      <c r="C198" s="73"/>
      <c r="D198" s="74" t="str">
        <f aca="false">IFERROR(INDEX(Categories!$B$2:$B$33,MATCH(C198,Categories!$A$2:$A$33,0)),"")</f>
        <v/>
      </c>
      <c r="E198" s="75"/>
      <c r="F198" s="74" t="str">
        <f aca="false">IF(A198="","",MONTH(A198))</f>
        <v/>
      </c>
      <c r="G198" s="73"/>
      <c r="H198" s="73"/>
    </row>
    <row r="199" customFormat="false" ht="15" hidden="false" customHeight="false" outlineLevel="0" collapsed="false">
      <c r="A199" s="76"/>
      <c r="B199" s="77"/>
      <c r="C199" s="77"/>
      <c r="D199" s="78" t="str">
        <f aca="false">IFERROR(INDEX(Categories!$B$2:$B$33,MATCH(C199,Categories!$A$2:$A$33,0)),"")</f>
        <v/>
      </c>
      <c r="E199" s="79"/>
      <c r="F199" s="78" t="str">
        <f aca="false">IF(A199="","",MONTH(A199))</f>
        <v/>
      </c>
      <c r="G199" s="77"/>
      <c r="H199" s="77"/>
    </row>
    <row r="200" customFormat="false" ht="15" hidden="false" customHeight="false" outlineLevel="0" collapsed="false">
      <c r="A200" s="72"/>
      <c r="B200" s="73"/>
      <c r="C200" s="73"/>
      <c r="D200" s="74" t="str">
        <f aca="false">IFERROR(INDEX(Categories!$B$2:$B$33,MATCH(C200,Categories!$A$2:$A$33,0)),"")</f>
        <v/>
      </c>
      <c r="E200" s="75"/>
      <c r="F200" s="74" t="str">
        <f aca="false">IF(A200="","",MONTH(A200))</f>
        <v/>
      </c>
      <c r="G200" s="73"/>
      <c r="H200" s="73"/>
    </row>
    <row r="201" customFormat="false" ht="15" hidden="false" customHeight="false" outlineLevel="0" collapsed="false">
      <c r="A201" s="76"/>
      <c r="B201" s="77"/>
      <c r="C201" s="77"/>
      <c r="D201" s="78" t="str">
        <f aca="false">IFERROR(INDEX(Categories!$B$2:$B$33,MATCH(C201,Categories!$A$2:$A$33,0)),"")</f>
        <v/>
      </c>
      <c r="E201" s="79"/>
      <c r="F201" s="78" t="str">
        <f aca="false">IF(A201="","",MONTH(A201))</f>
        <v/>
      </c>
      <c r="G201" s="77"/>
      <c r="H201" s="77"/>
    </row>
    <row r="202" customFormat="false" ht="15" hidden="false" customHeight="false" outlineLevel="0" collapsed="false">
      <c r="A202" s="72"/>
      <c r="B202" s="73"/>
      <c r="C202" s="73"/>
      <c r="D202" s="74" t="str">
        <f aca="false">IFERROR(INDEX(Categories!$B$2:$B$33,MATCH(C202,Categories!$A$2:$A$33,0)),"")</f>
        <v/>
      </c>
      <c r="E202" s="75"/>
      <c r="F202" s="74" t="str">
        <f aca="false">IF(A202="","",MONTH(A202))</f>
        <v/>
      </c>
      <c r="G202" s="73"/>
      <c r="H202" s="73"/>
    </row>
    <row r="203" customFormat="false" ht="15" hidden="false" customHeight="false" outlineLevel="0" collapsed="false">
      <c r="A203" s="76"/>
      <c r="B203" s="77"/>
      <c r="C203" s="77"/>
      <c r="D203" s="78" t="str">
        <f aca="false">IFERROR(INDEX(Categories!$B$2:$B$33,MATCH(C203,Categories!$A$2:$A$33,0)),"")</f>
        <v/>
      </c>
      <c r="E203" s="79"/>
      <c r="F203" s="78" t="str">
        <f aca="false">IF(A203="","",MONTH(A203))</f>
        <v/>
      </c>
      <c r="G203" s="77"/>
      <c r="H203" s="77"/>
    </row>
    <row r="204" customFormat="false" ht="15" hidden="false" customHeight="false" outlineLevel="0" collapsed="false">
      <c r="A204" s="72"/>
      <c r="B204" s="73"/>
      <c r="C204" s="73"/>
      <c r="D204" s="74" t="str">
        <f aca="false">IFERROR(INDEX(Categories!$B$2:$B$33,MATCH(C204,Categories!$A$2:$A$33,0)),"")</f>
        <v/>
      </c>
      <c r="E204" s="75"/>
      <c r="F204" s="74" t="str">
        <f aca="false">IF(A204="","",MONTH(A204))</f>
        <v/>
      </c>
      <c r="G204" s="73"/>
      <c r="H204" s="73"/>
    </row>
    <row r="205" customFormat="false" ht="15" hidden="false" customHeight="false" outlineLevel="0" collapsed="false">
      <c r="A205" s="76"/>
      <c r="B205" s="77"/>
      <c r="C205" s="77"/>
      <c r="D205" s="78" t="str">
        <f aca="false">IFERROR(INDEX(Categories!$B$2:$B$33,MATCH(C205,Categories!$A$2:$A$33,0)),"")</f>
        <v/>
      </c>
      <c r="E205" s="79"/>
      <c r="F205" s="78" t="str">
        <f aca="false">IF(A205="","",MONTH(A205))</f>
        <v/>
      </c>
      <c r="G205" s="77"/>
      <c r="H205" s="77"/>
    </row>
    <row r="206" customFormat="false" ht="15" hidden="false" customHeight="false" outlineLevel="0" collapsed="false">
      <c r="A206" s="72"/>
      <c r="B206" s="73"/>
      <c r="C206" s="73"/>
      <c r="D206" s="74" t="str">
        <f aca="false">IFERROR(INDEX(Categories!$B$2:$B$33,MATCH(C206,Categories!$A$2:$A$33,0)),"")</f>
        <v/>
      </c>
      <c r="E206" s="75"/>
      <c r="F206" s="74" t="str">
        <f aca="false">IF(A206="","",MONTH(A206))</f>
        <v/>
      </c>
      <c r="G206" s="73"/>
      <c r="H206" s="73"/>
    </row>
    <row r="207" customFormat="false" ht="15" hidden="false" customHeight="false" outlineLevel="0" collapsed="false">
      <c r="A207" s="76"/>
      <c r="B207" s="77"/>
      <c r="C207" s="77"/>
      <c r="D207" s="78" t="str">
        <f aca="false">IFERROR(INDEX(Categories!$B$2:$B$33,MATCH(C207,Categories!$A$2:$A$33,0)),"")</f>
        <v/>
      </c>
      <c r="E207" s="79"/>
      <c r="F207" s="78" t="str">
        <f aca="false">IF(A207="","",MONTH(A207))</f>
        <v/>
      </c>
      <c r="G207" s="77"/>
      <c r="H207" s="77"/>
    </row>
    <row r="208" customFormat="false" ht="15" hidden="false" customHeight="false" outlineLevel="0" collapsed="false">
      <c r="A208" s="72"/>
      <c r="B208" s="73"/>
      <c r="C208" s="73"/>
      <c r="D208" s="74" t="str">
        <f aca="false">IFERROR(INDEX(Categories!$B$2:$B$33,MATCH(C208,Categories!$A$2:$A$33,0)),"")</f>
        <v/>
      </c>
      <c r="E208" s="75"/>
      <c r="F208" s="74" t="str">
        <f aca="false">IF(A208="","",MONTH(A208))</f>
        <v/>
      </c>
      <c r="G208" s="73"/>
      <c r="H208" s="73"/>
    </row>
    <row r="209" customFormat="false" ht="15" hidden="false" customHeight="false" outlineLevel="0" collapsed="false">
      <c r="A209" s="76"/>
      <c r="B209" s="77"/>
      <c r="C209" s="77"/>
      <c r="D209" s="78" t="str">
        <f aca="false">IFERROR(INDEX(Categories!$B$2:$B$33,MATCH(C209,Categories!$A$2:$A$33,0)),"")</f>
        <v/>
      </c>
      <c r="E209" s="79"/>
      <c r="F209" s="78" t="str">
        <f aca="false">IF(A209="","",MONTH(A209))</f>
        <v/>
      </c>
      <c r="G209" s="77"/>
      <c r="H209" s="77"/>
    </row>
    <row r="210" customFormat="false" ht="15" hidden="false" customHeight="false" outlineLevel="0" collapsed="false">
      <c r="A210" s="72"/>
      <c r="B210" s="73"/>
      <c r="C210" s="73"/>
      <c r="D210" s="74" t="str">
        <f aca="false">IFERROR(INDEX(Categories!$B$2:$B$33,MATCH(C210,Categories!$A$2:$A$33,0)),"")</f>
        <v/>
      </c>
      <c r="E210" s="75"/>
      <c r="F210" s="74" t="str">
        <f aca="false">IF(A210="","",MONTH(A210))</f>
        <v/>
      </c>
      <c r="G210" s="73"/>
      <c r="H210" s="73"/>
    </row>
    <row r="211" customFormat="false" ht="15" hidden="false" customHeight="false" outlineLevel="0" collapsed="false">
      <c r="A211" s="76"/>
      <c r="B211" s="77"/>
      <c r="C211" s="77"/>
      <c r="D211" s="78" t="str">
        <f aca="false">IFERROR(INDEX(Categories!$B$2:$B$33,MATCH(C211,Categories!$A$2:$A$33,0)),"")</f>
        <v/>
      </c>
      <c r="E211" s="79"/>
      <c r="F211" s="78" t="str">
        <f aca="false">IF(A211="","",MONTH(A211))</f>
        <v/>
      </c>
      <c r="G211" s="77"/>
      <c r="H211" s="77"/>
    </row>
    <row r="212" customFormat="false" ht="15" hidden="false" customHeight="false" outlineLevel="0" collapsed="false">
      <c r="A212" s="72"/>
      <c r="B212" s="73"/>
      <c r="C212" s="73"/>
      <c r="D212" s="74" t="str">
        <f aca="false">IFERROR(INDEX(Categories!$B$2:$B$33,MATCH(C212,Categories!$A$2:$A$33,0)),"")</f>
        <v/>
      </c>
      <c r="E212" s="75"/>
      <c r="F212" s="74" t="str">
        <f aca="false">IF(A212="","",MONTH(A212))</f>
        <v/>
      </c>
      <c r="G212" s="73"/>
      <c r="H212" s="73"/>
    </row>
    <row r="213" customFormat="false" ht="15" hidden="false" customHeight="false" outlineLevel="0" collapsed="false">
      <c r="A213" s="76"/>
      <c r="B213" s="77"/>
      <c r="C213" s="77"/>
      <c r="D213" s="78" t="str">
        <f aca="false">IFERROR(INDEX(Categories!$B$2:$B$33,MATCH(C213,Categories!$A$2:$A$33,0)),"")</f>
        <v/>
      </c>
      <c r="E213" s="79"/>
      <c r="F213" s="78" t="str">
        <f aca="false">IF(A213="","",MONTH(A213))</f>
        <v/>
      </c>
      <c r="G213" s="77"/>
      <c r="H213" s="77"/>
    </row>
    <row r="214" customFormat="false" ht="15" hidden="false" customHeight="false" outlineLevel="0" collapsed="false">
      <c r="A214" s="72"/>
      <c r="B214" s="73"/>
      <c r="C214" s="73"/>
      <c r="D214" s="74" t="str">
        <f aca="false">IFERROR(INDEX(Categories!$B$2:$B$33,MATCH(C214,Categories!$A$2:$A$33,0)),"")</f>
        <v/>
      </c>
      <c r="E214" s="75"/>
      <c r="F214" s="74" t="str">
        <f aca="false">IF(A214="","",MONTH(A214))</f>
        <v/>
      </c>
      <c r="G214" s="73"/>
      <c r="H214" s="73"/>
    </row>
    <row r="215" customFormat="false" ht="15" hidden="false" customHeight="false" outlineLevel="0" collapsed="false">
      <c r="A215" s="76"/>
      <c r="B215" s="77"/>
      <c r="C215" s="77"/>
      <c r="D215" s="78" t="str">
        <f aca="false">IFERROR(INDEX(Categories!$B$2:$B$33,MATCH(C215,Categories!$A$2:$A$33,0)),"")</f>
        <v/>
      </c>
      <c r="E215" s="79"/>
      <c r="F215" s="78" t="str">
        <f aca="false">IF(A215="","",MONTH(A215))</f>
        <v/>
      </c>
      <c r="G215" s="77"/>
      <c r="H215" s="77"/>
    </row>
    <row r="216" customFormat="false" ht="15" hidden="false" customHeight="false" outlineLevel="0" collapsed="false">
      <c r="A216" s="72"/>
      <c r="B216" s="73"/>
      <c r="C216" s="73"/>
      <c r="D216" s="74" t="str">
        <f aca="false">IFERROR(INDEX(Categories!$B$2:$B$33,MATCH(C216,Categories!$A$2:$A$33,0)),"")</f>
        <v/>
      </c>
      <c r="E216" s="75"/>
      <c r="F216" s="74" t="str">
        <f aca="false">IF(A216="","",MONTH(A216))</f>
        <v/>
      </c>
      <c r="G216" s="73"/>
      <c r="H216" s="73"/>
    </row>
    <row r="217" customFormat="false" ht="15" hidden="false" customHeight="false" outlineLevel="0" collapsed="false">
      <c r="A217" s="76"/>
      <c r="B217" s="77"/>
      <c r="C217" s="77"/>
      <c r="D217" s="78" t="str">
        <f aca="false">IFERROR(INDEX(Categories!$B$2:$B$33,MATCH(C217,Categories!$A$2:$A$33,0)),"")</f>
        <v/>
      </c>
      <c r="E217" s="79"/>
      <c r="F217" s="78" t="str">
        <f aca="false">IF(A217="","",MONTH(A217))</f>
        <v/>
      </c>
      <c r="G217" s="77"/>
      <c r="H217" s="77"/>
    </row>
    <row r="218" customFormat="false" ht="15" hidden="false" customHeight="false" outlineLevel="0" collapsed="false">
      <c r="A218" s="72"/>
      <c r="B218" s="73"/>
      <c r="C218" s="73"/>
      <c r="D218" s="74" t="str">
        <f aca="false">IFERROR(INDEX(Categories!$B$2:$B$33,MATCH(C218,Categories!$A$2:$A$33,0)),"")</f>
        <v/>
      </c>
      <c r="E218" s="75"/>
      <c r="F218" s="74" t="str">
        <f aca="false">IF(A218="","",MONTH(A218))</f>
        <v/>
      </c>
      <c r="G218" s="73"/>
      <c r="H218" s="73"/>
    </row>
    <row r="219" customFormat="false" ht="15" hidden="false" customHeight="false" outlineLevel="0" collapsed="false">
      <c r="A219" s="76"/>
      <c r="B219" s="77"/>
      <c r="C219" s="77"/>
      <c r="D219" s="78" t="str">
        <f aca="false">IFERROR(INDEX(Categories!$B$2:$B$33,MATCH(C219,Categories!$A$2:$A$33,0)),"")</f>
        <v/>
      </c>
      <c r="E219" s="79"/>
      <c r="F219" s="78" t="str">
        <f aca="false">IF(A219="","",MONTH(A219))</f>
        <v/>
      </c>
      <c r="G219" s="77"/>
      <c r="H219" s="77"/>
    </row>
    <row r="220" customFormat="false" ht="15" hidden="false" customHeight="false" outlineLevel="0" collapsed="false">
      <c r="A220" s="72"/>
      <c r="B220" s="73"/>
      <c r="C220" s="73"/>
      <c r="D220" s="74" t="str">
        <f aca="false">IFERROR(INDEX(Categories!$B$2:$B$33,MATCH(C220,Categories!$A$2:$A$33,0)),"")</f>
        <v/>
      </c>
      <c r="E220" s="75"/>
      <c r="F220" s="74" t="str">
        <f aca="false">IF(A220="","",MONTH(A220))</f>
        <v/>
      </c>
      <c r="G220" s="73"/>
      <c r="H220" s="73"/>
    </row>
    <row r="221" customFormat="false" ht="15" hidden="false" customHeight="false" outlineLevel="0" collapsed="false">
      <c r="A221" s="76"/>
      <c r="B221" s="77"/>
      <c r="C221" s="77"/>
      <c r="D221" s="78" t="str">
        <f aca="false">IFERROR(INDEX(Categories!$B$2:$B$33,MATCH(C221,Categories!$A$2:$A$33,0)),"")</f>
        <v/>
      </c>
      <c r="E221" s="79"/>
      <c r="F221" s="78" t="str">
        <f aca="false">IF(A221="","",MONTH(A221))</f>
        <v/>
      </c>
      <c r="G221" s="77"/>
      <c r="H221" s="77"/>
    </row>
    <row r="222" customFormat="false" ht="15" hidden="false" customHeight="false" outlineLevel="0" collapsed="false">
      <c r="A222" s="72"/>
      <c r="B222" s="73"/>
      <c r="C222" s="73"/>
      <c r="D222" s="74" t="str">
        <f aca="false">IFERROR(INDEX(Categories!$B$2:$B$33,MATCH(C222,Categories!$A$2:$A$33,0)),"")</f>
        <v/>
      </c>
      <c r="E222" s="75"/>
      <c r="F222" s="74" t="str">
        <f aca="false">IF(A222="","",MONTH(A222))</f>
        <v/>
      </c>
      <c r="G222" s="73"/>
      <c r="H222" s="73"/>
    </row>
    <row r="223" customFormat="false" ht="15" hidden="false" customHeight="false" outlineLevel="0" collapsed="false">
      <c r="A223" s="76"/>
      <c r="B223" s="77"/>
      <c r="C223" s="77"/>
      <c r="D223" s="78" t="str">
        <f aca="false">IFERROR(INDEX(Categories!$B$2:$B$33,MATCH(C223,Categories!$A$2:$A$33,0)),"")</f>
        <v/>
      </c>
      <c r="E223" s="79"/>
      <c r="F223" s="78" t="str">
        <f aca="false">IF(A223="","",MONTH(A223))</f>
        <v/>
      </c>
      <c r="G223" s="77"/>
      <c r="H223" s="77"/>
    </row>
    <row r="224" customFormat="false" ht="15" hidden="false" customHeight="false" outlineLevel="0" collapsed="false">
      <c r="A224" s="72"/>
      <c r="B224" s="73"/>
      <c r="C224" s="73"/>
      <c r="D224" s="74" t="str">
        <f aca="false">IFERROR(INDEX(Categories!$B$2:$B$33,MATCH(C224,Categories!$A$2:$A$33,0)),"")</f>
        <v/>
      </c>
      <c r="E224" s="75"/>
      <c r="F224" s="74" t="str">
        <f aca="false">IF(A224="","",MONTH(A224))</f>
        <v/>
      </c>
      <c r="G224" s="73"/>
      <c r="H224" s="73"/>
    </row>
    <row r="225" customFormat="false" ht="15" hidden="false" customHeight="false" outlineLevel="0" collapsed="false">
      <c r="A225" s="76"/>
      <c r="B225" s="77"/>
      <c r="C225" s="77"/>
      <c r="D225" s="78" t="str">
        <f aca="false">IFERROR(INDEX(Categories!$B$2:$B$33,MATCH(C225,Categories!$A$2:$A$33,0)),"")</f>
        <v/>
      </c>
      <c r="E225" s="79"/>
      <c r="F225" s="78" t="str">
        <f aca="false">IF(A225="","",MONTH(A225))</f>
        <v/>
      </c>
      <c r="G225" s="77"/>
      <c r="H225" s="77"/>
    </row>
    <row r="226" customFormat="false" ht="15" hidden="false" customHeight="false" outlineLevel="0" collapsed="false">
      <c r="A226" s="72"/>
      <c r="B226" s="73"/>
      <c r="C226" s="73"/>
      <c r="D226" s="74" t="str">
        <f aca="false">IFERROR(INDEX(Categories!$B$2:$B$33,MATCH(C226,Categories!$A$2:$A$33,0)),"")</f>
        <v/>
      </c>
      <c r="E226" s="75"/>
      <c r="F226" s="74" t="str">
        <f aca="false">IF(A226="","",MONTH(A226))</f>
        <v/>
      </c>
      <c r="G226" s="73"/>
      <c r="H226" s="73"/>
    </row>
    <row r="227" customFormat="false" ht="15" hidden="false" customHeight="false" outlineLevel="0" collapsed="false">
      <c r="A227" s="76"/>
      <c r="B227" s="77"/>
      <c r="C227" s="77"/>
      <c r="D227" s="78" t="str">
        <f aca="false">IFERROR(INDEX(Categories!$B$2:$B$33,MATCH(C227,Categories!$A$2:$A$33,0)),"")</f>
        <v/>
      </c>
      <c r="E227" s="79"/>
      <c r="F227" s="78" t="str">
        <f aca="false">IF(A227="","",MONTH(A227))</f>
        <v/>
      </c>
      <c r="G227" s="77"/>
      <c r="H227" s="77"/>
    </row>
    <row r="228" customFormat="false" ht="15" hidden="false" customHeight="false" outlineLevel="0" collapsed="false">
      <c r="A228" s="72"/>
      <c r="B228" s="73"/>
      <c r="C228" s="73"/>
      <c r="D228" s="74" t="str">
        <f aca="false">IFERROR(INDEX(Categories!$B$2:$B$33,MATCH(C228,Categories!$A$2:$A$33,0)),"")</f>
        <v/>
      </c>
      <c r="E228" s="75"/>
      <c r="F228" s="74" t="str">
        <f aca="false">IF(A228="","",MONTH(A228))</f>
        <v/>
      </c>
      <c r="G228" s="73"/>
      <c r="H228" s="73"/>
    </row>
    <row r="229" customFormat="false" ht="15" hidden="false" customHeight="false" outlineLevel="0" collapsed="false">
      <c r="A229" s="76"/>
      <c r="B229" s="77"/>
      <c r="C229" s="77"/>
      <c r="D229" s="78" t="str">
        <f aca="false">IFERROR(INDEX(Categories!$B$2:$B$33,MATCH(C229,Categories!$A$2:$A$33,0)),"")</f>
        <v/>
      </c>
      <c r="E229" s="79"/>
      <c r="F229" s="78" t="str">
        <f aca="false">IF(A229="","",MONTH(A229))</f>
        <v/>
      </c>
      <c r="G229" s="77"/>
      <c r="H229" s="77"/>
    </row>
    <row r="230" customFormat="false" ht="15" hidden="false" customHeight="false" outlineLevel="0" collapsed="false">
      <c r="A230" s="72"/>
      <c r="B230" s="73"/>
      <c r="C230" s="73"/>
      <c r="D230" s="74" t="str">
        <f aca="false">IFERROR(INDEX(Categories!$B$2:$B$33,MATCH(C230,Categories!$A$2:$A$33,0)),"")</f>
        <v/>
      </c>
      <c r="E230" s="75"/>
      <c r="F230" s="74" t="str">
        <f aca="false">IF(A230="","",MONTH(A230))</f>
        <v/>
      </c>
      <c r="G230" s="73"/>
      <c r="H230" s="73"/>
    </row>
    <row r="231" customFormat="false" ht="15" hidden="false" customHeight="false" outlineLevel="0" collapsed="false">
      <c r="A231" s="76"/>
      <c r="B231" s="77"/>
      <c r="C231" s="77"/>
      <c r="D231" s="78" t="str">
        <f aca="false">IFERROR(INDEX(Categories!$B$2:$B$33,MATCH(C231,Categories!$A$2:$A$33,0)),"")</f>
        <v/>
      </c>
      <c r="E231" s="79"/>
      <c r="F231" s="78" t="str">
        <f aca="false">IF(A231="","",MONTH(A231))</f>
        <v/>
      </c>
      <c r="G231" s="77"/>
      <c r="H231" s="77"/>
    </row>
    <row r="232" customFormat="false" ht="15" hidden="false" customHeight="false" outlineLevel="0" collapsed="false">
      <c r="A232" s="72"/>
      <c r="B232" s="73"/>
      <c r="C232" s="73"/>
      <c r="D232" s="74" t="str">
        <f aca="false">IFERROR(INDEX(Categories!$B$2:$B$33,MATCH(C232,Categories!$A$2:$A$33,0)),"")</f>
        <v/>
      </c>
      <c r="E232" s="75"/>
      <c r="F232" s="74" t="str">
        <f aca="false">IF(A232="","",MONTH(A232))</f>
        <v/>
      </c>
      <c r="G232" s="73"/>
      <c r="H232" s="73"/>
    </row>
    <row r="233" customFormat="false" ht="15" hidden="false" customHeight="false" outlineLevel="0" collapsed="false">
      <c r="A233" s="76"/>
      <c r="B233" s="77"/>
      <c r="C233" s="77"/>
      <c r="D233" s="78" t="str">
        <f aca="false">IFERROR(INDEX(Categories!$B$2:$B$33,MATCH(C233,Categories!$A$2:$A$33,0)),"")</f>
        <v/>
      </c>
      <c r="E233" s="79"/>
      <c r="F233" s="78" t="str">
        <f aca="false">IF(A233="","",MONTH(A233))</f>
        <v/>
      </c>
      <c r="G233" s="77"/>
      <c r="H233" s="77"/>
    </row>
    <row r="234" customFormat="false" ht="15" hidden="false" customHeight="false" outlineLevel="0" collapsed="false">
      <c r="A234" s="72"/>
      <c r="B234" s="73"/>
      <c r="C234" s="73"/>
      <c r="D234" s="74" t="str">
        <f aca="false">IFERROR(INDEX(Categories!$B$2:$B$33,MATCH(C234,Categories!$A$2:$A$33,0)),"")</f>
        <v/>
      </c>
      <c r="E234" s="75"/>
      <c r="F234" s="74" t="str">
        <f aca="false">IF(A234="","",MONTH(A234))</f>
        <v/>
      </c>
      <c r="G234" s="73"/>
      <c r="H234" s="73"/>
    </row>
    <row r="235" customFormat="false" ht="15" hidden="false" customHeight="false" outlineLevel="0" collapsed="false">
      <c r="A235" s="76"/>
      <c r="B235" s="77"/>
      <c r="C235" s="77"/>
      <c r="D235" s="78" t="str">
        <f aca="false">IFERROR(INDEX(Categories!$B$2:$B$33,MATCH(C235,Categories!$A$2:$A$33,0)),"")</f>
        <v/>
      </c>
      <c r="E235" s="79"/>
      <c r="F235" s="78" t="str">
        <f aca="false">IF(A235="","",MONTH(A235))</f>
        <v/>
      </c>
      <c r="G235" s="77"/>
      <c r="H235" s="77"/>
    </row>
    <row r="236" customFormat="false" ht="15" hidden="false" customHeight="false" outlineLevel="0" collapsed="false">
      <c r="A236" s="72"/>
      <c r="B236" s="73"/>
      <c r="C236" s="73"/>
      <c r="D236" s="74" t="str">
        <f aca="false">IFERROR(INDEX(Categories!$B$2:$B$33,MATCH(C236,Categories!$A$2:$A$33,0)),"")</f>
        <v/>
      </c>
      <c r="E236" s="75"/>
      <c r="F236" s="74" t="str">
        <f aca="false">IF(A236="","",MONTH(A236))</f>
        <v/>
      </c>
      <c r="G236" s="73"/>
      <c r="H236" s="73"/>
    </row>
    <row r="237" customFormat="false" ht="15" hidden="false" customHeight="false" outlineLevel="0" collapsed="false">
      <c r="A237" s="76"/>
      <c r="B237" s="77"/>
      <c r="C237" s="77"/>
      <c r="D237" s="78" t="str">
        <f aca="false">IFERROR(INDEX(Categories!$B$2:$B$33,MATCH(C237,Categories!$A$2:$A$33,0)),"")</f>
        <v/>
      </c>
      <c r="E237" s="79"/>
      <c r="F237" s="78" t="str">
        <f aca="false">IF(A237="","",MONTH(A237))</f>
        <v/>
      </c>
      <c r="G237" s="77"/>
      <c r="H237" s="77"/>
    </row>
    <row r="238" customFormat="false" ht="15" hidden="false" customHeight="false" outlineLevel="0" collapsed="false">
      <c r="A238" s="72"/>
      <c r="B238" s="73"/>
      <c r="C238" s="73"/>
      <c r="D238" s="74" t="str">
        <f aca="false">IFERROR(INDEX(Categories!$B$2:$B$33,MATCH(C238,Categories!$A$2:$A$33,0)),"")</f>
        <v/>
      </c>
      <c r="E238" s="75"/>
      <c r="F238" s="74" t="str">
        <f aca="false">IF(A238="","",MONTH(A238))</f>
        <v/>
      </c>
      <c r="G238" s="73"/>
      <c r="H238" s="73"/>
    </row>
    <row r="239" customFormat="false" ht="15" hidden="false" customHeight="false" outlineLevel="0" collapsed="false">
      <c r="A239" s="76"/>
      <c r="B239" s="77"/>
      <c r="C239" s="77"/>
      <c r="D239" s="78" t="str">
        <f aca="false">IFERROR(INDEX(Categories!$B$2:$B$33,MATCH(C239,Categories!$A$2:$A$33,0)),"")</f>
        <v/>
      </c>
      <c r="E239" s="79"/>
      <c r="F239" s="78" t="str">
        <f aca="false">IF(A239="","",MONTH(A239))</f>
        <v/>
      </c>
      <c r="G239" s="77"/>
      <c r="H239" s="77"/>
    </row>
    <row r="240" customFormat="false" ht="15" hidden="false" customHeight="false" outlineLevel="0" collapsed="false">
      <c r="A240" s="72"/>
      <c r="B240" s="73"/>
      <c r="C240" s="73"/>
      <c r="D240" s="74" t="str">
        <f aca="false">IFERROR(INDEX(Categories!$B$2:$B$33,MATCH(C240,Categories!$A$2:$A$33,0)),"")</f>
        <v/>
      </c>
      <c r="E240" s="75"/>
      <c r="F240" s="74" t="str">
        <f aca="false">IF(A240="","",MONTH(A240))</f>
        <v/>
      </c>
      <c r="G240" s="73"/>
      <c r="H240" s="73"/>
    </row>
    <row r="241" customFormat="false" ht="15" hidden="false" customHeight="false" outlineLevel="0" collapsed="false">
      <c r="A241" s="76"/>
      <c r="B241" s="77"/>
      <c r="C241" s="77"/>
      <c r="D241" s="78" t="str">
        <f aca="false">IFERROR(INDEX(Categories!$B$2:$B$33,MATCH(C241,Categories!$A$2:$A$33,0)),"")</f>
        <v/>
      </c>
      <c r="E241" s="79"/>
      <c r="F241" s="78" t="str">
        <f aca="false">IF(A241="","",MONTH(A241))</f>
        <v/>
      </c>
      <c r="G241" s="77"/>
      <c r="H241" s="77"/>
    </row>
    <row r="242" customFormat="false" ht="15" hidden="false" customHeight="false" outlineLevel="0" collapsed="false">
      <c r="A242" s="72"/>
      <c r="B242" s="73"/>
      <c r="C242" s="73"/>
      <c r="D242" s="74" t="str">
        <f aca="false">IFERROR(INDEX(Categories!$B$2:$B$33,MATCH(C242,Categories!$A$2:$A$33,0)),"")</f>
        <v/>
      </c>
      <c r="E242" s="75"/>
      <c r="F242" s="74" t="str">
        <f aca="false">IF(A242="","",MONTH(A242))</f>
        <v/>
      </c>
      <c r="G242" s="73"/>
      <c r="H242" s="73"/>
    </row>
    <row r="243" customFormat="false" ht="15" hidden="false" customHeight="false" outlineLevel="0" collapsed="false">
      <c r="A243" s="76"/>
      <c r="B243" s="77"/>
      <c r="C243" s="77"/>
      <c r="D243" s="78" t="str">
        <f aca="false">IFERROR(INDEX(Categories!$B$2:$B$33,MATCH(C243,Categories!$A$2:$A$33,0)),"")</f>
        <v/>
      </c>
      <c r="E243" s="79"/>
      <c r="F243" s="78" t="str">
        <f aca="false">IF(A243="","",MONTH(A243))</f>
        <v/>
      </c>
      <c r="G243" s="77"/>
      <c r="H243" s="77"/>
    </row>
    <row r="244" customFormat="false" ht="15" hidden="false" customHeight="false" outlineLevel="0" collapsed="false">
      <c r="A244" s="72"/>
      <c r="B244" s="73"/>
      <c r="C244" s="73"/>
      <c r="D244" s="74" t="str">
        <f aca="false">IFERROR(INDEX(Categories!$B$2:$B$33,MATCH(C244,Categories!$A$2:$A$33,0)),"")</f>
        <v/>
      </c>
      <c r="E244" s="75"/>
      <c r="F244" s="74" t="str">
        <f aca="false">IF(A244="","",MONTH(A244))</f>
        <v/>
      </c>
      <c r="G244" s="73"/>
      <c r="H244" s="73"/>
    </row>
    <row r="245" customFormat="false" ht="15" hidden="false" customHeight="false" outlineLevel="0" collapsed="false">
      <c r="A245" s="76"/>
      <c r="B245" s="77"/>
      <c r="C245" s="77"/>
      <c r="D245" s="78" t="str">
        <f aca="false">IFERROR(INDEX(Categories!$B$2:$B$33,MATCH(C245,Categories!$A$2:$A$33,0)),"")</f>
        <v/>
      </c>
      <c r="E245" s="79"/>
      <c r="F245" s="78" t="str">
        <f aca="false">IF(A245="","",MONTH(A245))</f>
        <v/>
      </c>
      <c r="G245" s="77"/>
      <c r="H245" s="77"/>
    </row>
    <row r="246" customFormat="false" ht="15" hidden="false" customHeight="false" outlineLevel="0" collapsed="false">
      <c r="A246" s="72"/>
      <c r="B246" s="73"/>
      <c r="C246" s="73"/>
      <c r="D246" s="74" t="str">
        <f aca="false">IFERROR(INDEX(Categories!$B$2:$B$33,MATCH(C246,Categories!$A$2:$A$33,0)),"")</f>
        <v/>
      </c>
      <c r="E246" s="75"/>
      <c r="F246" s="74" t="str">
        <f aca="false">IF(A246="","",MONTH(A246))</f>
        <v/>
      </c>
      <c r="G246" s="73"/>
      <c r="H246" s="73"/>
    </row>
    <row r="247" customFormat="false" ht="15" hidden="false" customHeight="false" outlineLevel="0" collapsed="false">
      <c r="A247" s="76"/>
      <c r="B247" s="77"/>
      <c r="C247" s="77"/>
      <c r="D247" s="78" t="str">
        <f aca="false">IFERROR(INDEX(Categories!$B$2:$B$33,MATCH(C247,Categories!$A$2:$A$33,0)),"")</f>
        <v/>
      </c>
      <c r="E247" s="79"/>
      <c r="F247" s="78" t="str">
        <f aca="false">IF(A247="","",MONTH(A247))</f>
        <v/>
      </c>
      <c r="G247" s="77"/>
      <c r="H247" s="77"/>
    </row>
    <row r="248" customFormat="false" ht="15" hidden="false" customHeight="false" outlineLevel="0" collapsed="false">
      <c r="A248" s="72"/>
      <c r="B248" s="73"/>
      <c r="C248" s="73"/>
      <c r="D248" s="74" t="str">
        <f aca="false">IFERROR(INDEX(Categories!$B$2:$B$33,MATCH(C248,Categories!$A$2:$A$33,0)),"")</f>
        <v/>
      </c>
      <c r="E248" s="75"/>
      <c r="F248" s="74" t="str">
        <f aca="false">IF(A248="","",MONTH(A248))</f>
        <v/>
      </c>
      <c r="G248" s="73"/>
      <c r="H248" s="73"/>
    </row>
    <row r="249" customFormat="false" ht="15" hidden="false" customHeight="false" outlineLevel="0" collapsed="false">
      <c r="A249" s="76"/>
      <c r="B249" s="77"/>
      <c r="C249" s="77"/>
      <c r="D249" s="78" t="str">
        <f aca="false">IFERROR(INDEX(Categories!$B$2:$B$33,MATCH(C249,Categories!$A$2:$A$33,0)),"")</f>
        <v/>
      </c>
      <c r="E249" s="79"/>
      <c r="F249" s="78" t="str">
        <f aca="false">IF(A249="","",MONTH(A249))</f>
        <v/>
      </c>
      <c r="G249" s="77"/>
      <c r="H249" s="77"/>
    </row>
    <row r="250" customFormat="false" ht="15" hidden="false" customHeight="false" outlineLevel="0" collapsed="false">
      <c r="A250" s="72"/>
      <c r="B250" s="73"/>
      <c r="C250" s="73"/>
      <c r="D250" s="74" t="str">
        <f aca="false">IFERROR(INDEX(Categories!$B$2:$B$33,MATCH(C250,Categories!$A$2:$A$33,0)),"")</f>
        <v/>
      </c>
      <c r="E250" s="75"/>
      <c r="F250" s="74" t="str">
        <f aca="false">IF(A250="","",MONTH(A250))</f>
        <v/>
      </c>
      <c r="G250" s="73"/>
      <c r="H250" s="73"/>
    </row>
    <row r="251" customFormat="false" ht="15" hidden="false" customHeight="false" outlineLevel="0" collapsed="false">
      <c r="A251" s="76"/>
      <c r="B251" s="77"/>
      <c r="C251" s="77"/>
      <c r="D251" s="78" t="str">
        <f aca="false">IFERROR(INDEX(Categories!$B$2:$B$33,MATCH(C251,Categories!$A$2:$A$33,0)),"")</f>
        <v/>
      </c>
      <c r="E251" s="79"/>
      <c r="F251" s="78" t="str">
        <f aca="false">IF(A251="","",MONTH(A251))</f>
        <v/>
      </c>
      <c r="G251" s="77"/>
      <c r="H251" s="77"/>
    </row>
    <row r="252" customFormat="false" ht="15" hidden="false" customHeight="false" outlineLevel="0" collapsed="false">
      <c r="A252" s="72"/>
      <c r="B252" s="73"/>
      <c r="C252" s="73"/>
      <c r="D252" s="74" t="str">
        <f aca="false">IFERROR(INDEX(Categories!$B$2:$B$33,MATCH(C252,Categories!$A$2:$A$33,0)),"")</f>
        <v/>
      </c>
      <c r="E252" s="75"/>
      <c r="F252" s="74" t="str">
        <f aca="false">IF(A252="","",MONTH(A252))</f>
        <v/>
      </c>
      <c r="G252" s="73"/>
      <c r="H252" s="73"/>
    </row>
    <row r="253" customFormat="false" ht="15" hidden="false" customHeight="false" outlineLevel="0" collapsed="false">
      <c r="A253" s="76"/>
      <c r="B253" s="77"/>
      <c r="C253" s="77"/>
      <c r="D253" s="78" t="str">
        <f aca="false">IFERROR(INDEX(Categories!$B$2:$B$33,MATCH(C253,Categories!$A$2:$A$33,0)),"")</f>
        <v/>
      </c>
      <c r="E253" s="79"/>
      <c r="F253" s="78" t="str">
        <f aca="false">IF(A253="","",MONTH(A253))</f>
        <v/>
      </c>
      <c r="G253" s="77"/>
      <c r="H253" s="77"/>
    </row>
    <row r="254" customFormat="false" ht="15" hidden="false" customHeight="false" outlineLevel="0" collapsed="false">
      <c r="A254" s="72"/>
      <c r="B254" s="73"/>
      <c r="C254" s="73"/>
      <c r="D254" s="74" t="str">
        <f aca="false">IFERROR(INDEX(Categories!$B$2:$B$33,MATCH(C254,Categories!$A$2:$A$33,0)),"")</f>
        <v/>
      </c>
      <c r="E254" s="75"/>
      <c r="F254" s="74" t="str">
        <f aca="false">IF(A254="","",MONTH(A254))</f>
        <v/>
      </c>
      <c r="G254" s="73"/>
      <c r="H254" s="73"/>
    </row>
    <row r="255" customFormat="false" ht="15" hidden="false" customHeight="false" outlineLevel="0" collapsed="false">
      <c r="A255" s="76"/>
      <c r="B255" s="77"/>
      <c r="C255" s="77"/>
      <c r="D255" s="78" t="str">
        <f aca="false">IFERROR(INDEX(Categories!$B$2:$B$33,MATCH(C255,Categories!$A$2:$A$33,0)),"")</f>
        <v/>
      </c>
      <c r="E255" s="79"/>
      <c r="F255" s="78" t="str">
        <f aca="false">IF(A255="","",MONTH(A255))</f>
        <v/>
      </c>
      <c r="G255" s="77"/>
      <c r="H255" s="77"/>
    </row>
    <row r="256" customFormat="false" ht="15" hidden="false" customHeight="false" outlineLevel="0" collapsed="false">
      <c r="A256" s="72"/>
      <c r="B256" s="73"/>
      <c r="C256" s="73"/>
      <c r="D256" s="74" t="str">
        <f aca="false">IFERROR(INDEX(Categories!$B$2:$B$33,MATCH(C256,Categories!$A$2:$A$33,0)),"")</f>
        <v/>
      </c>
      <c r="E256" s="75"/>
      <c r="F256" s="74" t="str">
        <f aca="false">IF(A256="","",MONTH(A256))</f>
        <v/>
      </c>
      <c r="G256" s="73"/>
      <c r="H256" s="73"/>
    </row>
    <row r="257" customFormat="false" ht="15" hidden="false" customHeight="false" outlineLevel="0" collapsed="false">
      <c r="A257" s="76"/>
      <c r="B257" s="77"/>
      <c r="C257" s="77"/>
      <c r="D257" s="78" t="str">
        <f aca="false">IFERROR(INDEX(Categories!$B$2:$B$33,MATCH(C257,Categories!$A$2:$A$33,0)),"")</f>
        <v/>
      </c>
      <c r="E257" s="79"/>
      <c r="F257" s="78" t="str">
        <f aca="false">IF(A257="","",MONTH(A257))</f>
        <v/>
      </c>
      <c r="G257" s="77"/>
      <c r="H257" s="77"/>
    </row>
    <row r="258" customFormat="false" ht="15" hidden="false" customHeight="false" outlineLevel="0" collapsed="false">
      <c r="A258" s="72"/>
      <c r="B258" s="73"/>
      <c r="C258" s="73"/>
      <c r="D258" s="74" t="str">
        <f aca="false">IFERROR(INDEX(Categories!$B$2:$B$33,MATCH(C258,Categories!$A$2:$A$33,0)),"")</f>
        <v/>
      </c>
      <c r="E258" s="75"/>
      <c r="F258" s="74" t="str">
        <f aca="false">IF(A258="","",MONTH(A258))</f>
        <v/>
      </c>
      <c r="G258" s="73"/>
      <c r="H258" s="73"/>
    </row>
    <row r="259" customFormat="false" ht="15" hidden="false" customHeight="false" outlineLevel="0" collapsed="false">
      <c r="A259" s="76"/>
      <c r="B259" s="77"/>
      <c r="C259" s="77"/>
      <c r="D259" s="78" t="str">
        <f aca="false">IFERROR(INDEX(Categories!$B$2:$B$33,MATCH(C259,Categories!$A$2:$A$33,0)),"")</f>
        <v/>
      </c>
      <c r="E259" s="79"/>
      <c r="F259" s="78" t="str">
        <f aca="false">IF(A259="","",MONTH(A259))</f>
        <v/>
      </c>
      <c r="G259" s="77"/>
      <c r="H259" s="77"/>
    </row>
    <row r="260" customFormat="false" ht="15" hidden="false" customHeight="false" outlineLevel="0" collapsed="false">
      <c r="A260" s="72"/>
      <c r="B260" s="73"/>
      <c r="C260" s="73"/>
      <c r="D260" s="74" t="str">
        <f aca="false">IFERROR(INDEX(Categories!$B$2:$B$33,MATCH(C260,Categories!$A$2:$A$33,0)),"")</f>
        <v/>
      </c>
      <c r="E260" s="75"/>
      <c r="F260" s="74" t="str">
        <f aca="false">IF(A260="","",MONTH(A260))</f>
        <v/>
      </c>
      <c r="G260" s="73"/>
      <c r="H260" s="73"/>
    </row>
    <row r="261" customFormat="false" ht="15" hidden="false" customHeight="false" outlineLevel="0" collapsed="false">
      <c r="A261" s="76"/>
      <c r="B261" s="77"/>
      <c r="C261" s="77"/>
      <c r="D261" s="78" t="str">
        <f aca="false">IFERROR(INDEX(Categories!$B$2:$B$33,MATCH(C261,Categories!$A$2:$A$33,0)),"")</f>
        <v/>
      </c>
      <c r="E261" s="79"/>
      <c r="F261" s="78" t="str">
        <f aca="false">IF(A261="","",MONTH(A261))</f>
        <v/>
      </c>
      <c r="G261" s="77"/>
      <c r="H261" s="77"/>
    </row>
    <row r="262" customFormat="false" ht="15" hidden="false" customHeight="false" outlineLevel="0" collapsed="false">
      <c r="A262" s="72"/>
      <c r="B262" s="73"/>
      <c r="C262" s="73"/>
      <c r="D262" s="74" t="str">
        <f aca="false">IFERROR(INDEX(Categories!$B$2:$B$33,MATCH(C262,Categories!$A$2:$A$33,0)),"")</f>
        <v/>
      </c>
      <c r="E262" s="75"/>
      <c r="F262" s="74" t="str">
        <f aca="false">IF(A262="","",MONTH(A262))</f>
        <v/>
      </c>
      <c r="G262" s="73"/>
      <c r="H262" s="73"/>
    </row>
    <row r="263" customFormat="false" ht="15" hidden="false" customHeight="false" outlineLevel="0" collapsed="false">
      <c r="A263" s="76"/>
      <c r="B263" s="77"/>
      <c r="C263" s="77"/>
      <c r="D263" s="78" t="str">
        <f aca="false">IFERROR(INDEX(Categories!$B$2:$B$33,MATCH(C263,Categories!$A$2:$A$33,0)),"")</f>
        <v/>
      </c>
      <c r="E263" s="79"/>
      <c r="F263" s="78" t="str">
        <f aca="false">IF(A263="","",MONTH(A263))</f>
        <v/>
      </c>
      <c r="G263" s="77"/>
      <c r="H263" s="77"/>
    </row>
    <row r="264" customFormat="false" ht="15" hidden="false" customHeight="false" outlineLevel="0" collapsed="false">
      <c r="A264" s="72"/>
      <c r="B264" s="73"/>
      <c r="C264" s="73"/>
      <c r="D264" s="74" t="str">
        <f aca="false">IFERROR(INDEX(Categories!$B$2:$B$33,MATCH(C264,Categories!$A$2:$A$33,0)),"")</f>
        <v/>
      </c>
      <c r="E264" s="75"/>
      <c r="F264" s="74" t="str">
        <f aca="false">IF(A264="","",MONTH(A264))</f>
        <v/>
      </c>
      <c r="G264" s="73"/>
      <c r="H264" s="73"/>
    </row>
    <row r="265" customFormat="false" ht="15" hidden="false" customHeight="false" outlineLevel="0" collapsed="false">
      <c r="A265" s="76"/>
      <c r="B265" s="77"/>
      <c r="C265" s="77"/>
      <c r="D265" s="78" t="str">
        <f aca="false">IFERROR(INDEX(Categories!$B$2:$B$33,MATCH(C265,Categories!$A$2:$A$33,0)),"")</f>
        <v/>
      </c>
      <c r="E265" s="79"/>
      <c r="F265" s="78" t="str">
        <f aca="false">IF(A265="","",MONTH(A265))</f>
        <v/>
      </c>
      <c r="G265" s="77"/>
      <c r="H265" s="77"/>
    </row>
    <row r="266" customFormat="false" ht="15" hidden="false" customHeight="false" outlineLevel="0" collapsed="false">
      <c r="A266" s="72"/>
      <c r="B266" s="73"/>
      <c r="C266" s="73"/>
      <c r="D266" s="74" t="str">
        <f aca="false">IFERROR(INDEX(Categories!$B$2:$B$33,MATCH(C266,Categories!$A$2:$A$33,0)),"")</f>
        <v/>
      </c>
      <c r="E266" s="75"/>
      <c r="F266" s="74" t="str">
        <f aca="false">IF(A266="","",MONTH(A266))</f>
        <v/>
      </c>
      <c r="G266" s="73"/>
      <c r="H266" s="73"/>
    </row>
    <row r="267" customFormat="false" ht="15" hidden="false" customHeight="false" outlineLevel="0" collapsed="false">
      <c r="A267" s="76"/>
      <c r="B267" s="77"/>
      <c r="C267" s="77"/>
      <c r="D267" s="78" t="str">
        <f aca="false">IFERROR(INDEX(Categories!$B$2:$B$33,MATCH(C267,Categories!$A$2:$A$33,0)),"")</f>
        <v/>
      </c>
      <c r="E267" s="79"/>
      <c r="F267" s="78" t="str">
        <f aca="false">IF(A267="","",MONTH(A267))</f>
        <v/>
      </c>
      <c r="G267" s="77"/>
      <c r="H267" s="77"/>
    </row>
    <row r="268" customFormat="false" ht="15" hidden="false" customHeight="false" outlineLevel="0" collapsed="false">
      <c r="A268" s="72"/>
      <c r="B268" s="73"/>
      <c r="C268" s="73"/>
      <c r="D268" s="74" t="str">
        <f aca="false">IFERROR(INDEX(Categories!$B$2:$B$33,MATCH(C268,Categories!$A$2:$A$33,0)),"")</f>
        <v/>
      </c>
      <c r="E268" s="75"/>
      <c r="F268" s="74" t="str">
        <f aca="false">IF(A268="","",MONTH(A268))</f>
        <v/>
      </c>
      <c r="G268" s="73"/>
      <c r="H268" s="73"/>
    </row>
    <row r="269" customFormat="false" ht="15" hidden="false" customHeight="false" outlineLevel="0" collapsed="false">
      <c r="A269" s="76"/>
      <c r="B269" s="77"/>
      <c r="C269" s="77"/>
      <c r="D269" s="78" t="str">
        <f aca="false">IFERROR(INDEX(Categories!$B$2:$B$33,MATCH(C269,Categories!$A$2:$A$33,0)),"")</f>
        <v/>
      </c>
      <c r="E269" s="79"/>
      <c r="F269" s="78" t="str">
        <f aca="false">IF(A269="","",MONTH(A269))</f>
        <v/>
      </c>
      <c r="G269" s="77"/>
      <c r="H269" s="77"/>
    </row>
    <row r="270" customFormat="false" ht="15" hidden="false" customHeight="false" outlineLevel="0" collapsed="false">
      <c r="A270" s="72"/>
      <c r="B270" s="73"/>
      <c r="C270" s="73"/>
      <c r="D270" s="74" t="str">
        <f aca="false">IFERROR(INDEX(Categories!$B$2:$B$33,MATCH(C270,Categories!$A$2:$A$33,0)),"")</f>
        <v/>
      </c>
      <c r="E270" s="75"/>
      <c r="F270" s="74" t="str">
        <f aca="false">IF(A270="","",MONTH(A270))</f>
        <v/>
      </c>
      <c r="G270" s="73"/>
      <c r="H270" s="73"/>
    </row>
    <row r="271" customFormat="false" ht="15" hidden="false" customHeight="false" outlineLevel="0" collapsed="false">
      <c r="A271" s="76"/>
      <c r="B271" s="77"/>
      <c r="C271" s="77"/>
      <c r="D271" s="78" t="str">
        <f aca="false">IFERROR(INDEX(Categories!$B$2:$B$33,MATCH(C271,Categories!$A$2:$A$33,0)),"")</f>
        <v/>
      </c>
      <c r="E271" s="79"/>
      <c r="F271" s="78" t="str">
        <f aca="false">IF(A271="","",MONTH(A271))</f>
        <v/>
      </c>
      <c r="G271" s="77"/>
      <c r="H271" s="77"/>
    </row>
    <row r="272" customFormat="false" ht="15" hidden="false" customHeight="false" outlineLevel="0" collapsed="false">
      <c r="A272" s="72"/>
      <c r="B272" s="73"/>
      <c r="C272" s="73"/>
      <c r="D272" s="74" t="str">
        <f aca="false">IFERROR(INDEX(Categories!$B$2:$B$33,MATCH(C272,Categories!$A$2:$A$33,0)),"")</f>
        <v/>
      </c>
      <c r="E272" s="75"/>
      <c r="F272" s="74" t="str">
        <f aca="false">IF(A272="","",MONTH(A272))</f>
        <v/>
      </c>
      <c r="G272" s="73"/>
      <c r="H272" s="73"/>
    </row>
    <row r="273" customFormat="false" ht="15" hidden="false" customHeight="false" outlineLevel="0" collapsed="false">
      <c r="A273" s="76"/>
      <c r="B273" s="77"/>
      <c r="C273" s="77"/>
      <c r="D273" s="78" t="str">
        <f aca="false">IFERROR(INDEX(Categories!$B$2:$B$33,MATCH(C273,Categories!$A$2:$A$33,0)),"")</f>
        <v/>
      </c>
      <c r="E273" s="79"/>
      <c r="F273" s="78" t="str">
        <f aca="false">IF(A273="","",MONTH(A273))</f>
        <v/>
      </c>
      <c r="G273" s="77"/>
      <c r="H273" s="77"/>
    </row>
    <row r="274" customFormat="false" ht="15" hidden="false" customHeight="false" outlineLevel="0" collapsed="false">
      <c r="A274" s="72"/>
      <c r="B274" s="73"/>
      <c r="C274" s="73"/>
      <c r="D274" s="74" t="str">
        <f aca="false">IFERROR(INDEX(Categories!$B$2:$B$33,MATCH(C274,Categories!$A$2:$A$33,0)),"")</f>
        <v/>
      </c>
      <c r="E274" s="75"/>
      <c r="F274" s="74" t="str">
        <f aca="false">IF(A274="","",MONTH(A274))</f>
        <v/>
      </c>
      <c r="G274" s="73"/>
      <c r="H274" s="73"/>
    </row>
    <row r="275" customFormat="false" ht="15" hidden="false" customHeight="false" outlineLevel="0" collapsed="false">
      <c r="A275" s="76"/>
      <c r="B275" s="77"/>
      <c r="C275" s="77"/>
      <c r="D275" s="78" t="str">
        <f aca="false">IFERROR(INDEX(Categories!$B$2:$B$33,MATCH(C275,Categories!$A$2:$A$33,0)),"")</f>
        <v/>
      </c>
      <c r="E275" s="79"/>
      <c r="F275" s="78" t="str">
        <f aca="false">IF(A275="","",MONTH(A275))</f>
        <v/>
      </c>
      <c r="G275" s="77"/>
      <c r="H275" s="77"/>
    </row>
    <row r="276" customFormat="false" ht="15" hidden="false" customHeight="false" outlineLevel="0" collapsed="false">
      <c r="A276" s="72"/>
      <c r="B276" s="73"/>
      <c r="C276" s="73"/>
      <c r="D276" s="74" t="str">
        <f aca="false">IFERROR(INDEX(Categories!$B$2:$B$33,MATCH(C276,Categories!$A$2:$A$33,0)),"")</f>
        <v/>
      </c>
      <c r="E276" s="75"/>
      <c r="F276" s="74" t="str">
        <f aca="false">IF(A276="","",MONTH(A276))</f>
        <v/>
      </c>
      <c r="G276" s="73"/>
      <c r="H276" s="73"/>
    </row>
    <row r="277" customFormat="false" ht="15" hidden="false" customHeight="false" outlineLevel="0" collapsed="false">
      <c r="A277" s="76"/>
      <c r="B277" s="77"/>
      <c r="C277" s="77"/>
      <c r="D277" s="78" t="str">
        <f aca="false">IFERROR(INDEX(Categories!$B$2:$B$33,MATCH(C277,Categories!$A$2:$A$33,0)),"")</f>
        <v/>
      </c>
      <c r="E277" s="79"/>
      <c r="F277" s="78" t="str">
        <f aca="false">IF(A277="","",MONTH(A277))</f>
        <v/>
      </c>
      <c r="G277" s="77"/>
      <c r="H277" s="77"/>
    </row>
    <row r="278" customFormat="false" ht="15" hidden="false" customHeight="false" outlineLevel="0" collapsed="false">
      <c r="A278" s="72"/>
      <c r="B278" s="73"/>
      <c r="C278" s="73"/>
      <c r="D278" s="74" t="str">
        <f aca="false">IFERROR(INDEX(Categories!$B$2:$B$33,MATCH(C278,Categories!$A$2:$A$33,0)),"")</f>
        <v/>
      </c>
      <c r="E278" s="75"/>
      <c r="F278" s="74" t="str">
        <f aca="false">IF(A278="","",MONTH(A278))</f>
        <v/>
      </c>
      <c r="G278" s="73"/>
      <c r="H278" s="73"/>
    </row>
    <row r="279" customFormat="false" ht="15" hidden="false" customHeight="false" outlineLevel="0" collapsed="false">
      <c r="A279" s="76"/>
      <c r="B279" s="77"/>
      <c r="C279" s="77"/>
      <c r="D279" s="78" t="str">
        <f aca="false">IFERROR(INDEX(Categories!$B$2:$B$33,MATCH(C279,Categories!$A$2:$A$33,0)),"")</f>
        <v/>
      </c>
      <c r="E279" s="79"/>
      <c r="F279" s="78" t="str">
        <f aca="false">IF(A279="","",MONTH(A279))</f>
        <v/>
      </c>
      <c r="G279" s="77"/>
      <c r="H279" s="77"/>
    </row>
    <row r="280" customFormat="false" ht="15" hidden="false" customHeight="false" outlineLevel="0" collapsed="false">
      <c r="A280" s="72"/>
      <c r="B280" s="73"/>
      <c r="C280" s="73"/>
      <c r="D280" s="74" t="str">
        <f aca="false">IFERROR(INDEX(Categories!$B$2:$B$33,MATCH(C280,Categories!$A$2:$A$33,0)),"")</f>
        <v/>
      </c>
      <c r="E280" s="75"/>
      <c r="F280" s="74" t="str">
        <f aca="false">IF(A280="","",MONTH(A280))</f>
        <v/>
      </c>
      <c r="G280" s="73"/>
      <c r="H280" s="73"/>
    </row>
    <row r="281" customFormat="false" ht="15" hidden="false" customHeight="false" outlineLevel="0" collapsed="false">
      <c r="A281" s="76"/>
      <c r="B281" s="77"/>
      <c r="C281" s="77"/>
      <c r="D281" s="78" t="str">
        <f aca="false">IFERROR(INDEX(Categories!$B$2:$B$33,MATCH(C281,Categories!$A$2:$A$33,0)),"")</f>
        <v/>
      </c>
      <c r="E281" s="79"/>
      <c r="F281" s="78" t="str">
        <f aca="false">IF(A281="","",MONTH(A281))</f>
        <v/>
      </c>
      <c r="G281" s="77"/>
      <c r="H281" s="77"/>
    </row>
    <row r="282" customFormat="false" ht="15" hidden="false" customHeight="false" outlineLevel="0" collapsed="false">
      <c r="A282" s="72"/>
      <c r="B282" s="73"/>
      <c r="C282" s="73"/>
      <c r="D282" s="74" t="str">
        <f aca="false">IFERROR(INDEX(Categories!$B$2:$B$33,MATCH(C282,Categories!$A$2:$A$33,0)),"")</f>
        <v/>
      </c>
      <c r="E282" s="75"/>
      <c r="F282" s="74" t="str">
        <f aca="false">IF(A282="","",MONTH(A282))</f>
        <v/>
      </c>
      <c r="G282" s="73"/>
      <c r="H282" s="73"/>
    </row>
    <row r="283" customFormat="false" ht="15" hidden="false" customHeight="false" outlineLevel="0" collapsed="false">
      <c r="A283" s="76"/>
      <c r="B283" s="77"/>
      <c r="C283" s="77"/>
      <c r="D283" s="78" t="str">
        <f aca="false">IFERROR(INDEX(Categories!$B$2:$B$33,MATCH(C283,Categories!$A$2:$A$33,0)),"")</f>
        <v/>
      </c>
      <c r="E283" s="79"/>
      <c r="F283" s="78" t="str">
        <f aca="false">IF(A283="","",MONTH(A283))</f>
        <v/>
      </c>
      <c r="G283" s="77"/>
      <c r="H283" s="77"/>
    </row>
    <row r="284" customFormat="false" ht="15" hidden="false" customHeight="false" outlineLevel="0" collapsed="false">
      <c r="A284" s="72"/>
      <c r="B284" s="73"/>
      <c r="C284" s="73"/>
      <c r="D284" s="74" t="str">
        <f aca="false">IFERROR(INDEX(Categories!$B$2:$B$33,MATCH(C284,Categories!$A$2:$A$33,0)),"")</f>
        <v/>
      </c>
      <c r="E284" s="75"/>
      <c r="F284" s="74" t="str">
        <f aca="false">IF(A284="","",MONTH(A284))</f>
        <v/>
      </c>
      <c r="G284" s="73"/>
      <c r="H284" s="73"/>
    </row>
    <row r="285" customFormat="false" ht="15" hidden="false" customHeight="false" outlineLevel="0" collapsed="false">
      <c r="A285" s="76"/>
      <c r="B285" s="77"/>
      <c r="C285" s="77"/>
      <c r="D285" s="78" t="str">
        <f aca="false">IFERROR(INDEX(Categories!$B$2:$B$33,MATCH(C285,Categories!$A$2:$A$33,0)),"")</f>
        <v/>
      </c>
      <c r="E285" s="79"/>
      <c r="F285" s="78" t="str">
        <f aca="false">IF(A285="","",MONTH(A285))</f>
        <v/>
      </c>
      <c r="G285" s="77"/>
      <c r="H285" s="77"/>
    </row>
    <row r="286" customFormat="false" ht="15" hidden="false" customHeight="false" outlineLevel="0" collapsed="false">
      <c r="A286" s="72"/>
      <c r="B286" s="73"/>
      <c r="C286" s="73"/>
      <c r="D286" s="74" t="str">
        <f aca="false">IFERROR(INDEX(Categories!$B$2:$B$33,MATCH(C286,Categories!$A$2:$A$33,0)),"")</f>
        <v/>
      </c>
      <c r="E286" s="75"/>
      <c r="F286" s="74" t="str">
        <f aca="false">IF(A286="","",MONTH(A286))</f>
        <v/>
      </c>
      <c r="G286" s="73"/>
      <c r="H286" s="73"/>
    </row>
    <row r="287" customFormat="false" ht="15" hidden="false" customHeight="false" outlineLevel="0" collapsed="false">
      <c r="A287" s="76"/>
      <c r="B287" s="77"/>
      <c r="C287" s="77"/>
      <c r="D287" s="78" t="str">
        <f aca="false">IFERROR(INDEX(Categories!$B$2:$B$33,MATCH(C287,Categories!$A$2:$A$33,0)),"")</f>
        <v/>
      </c>
      <c r="E287" s="79"/>
      <c r="F287" s="78" t="str">
        <f aca="false">IF(A287="","",MONTH(A287))</f>
        <v/>
      </c>
      <c r="G287" s="77"/>
      <c r="H287" s="77"/>
    </row>
    <row r="288" customFormat="false" ht="15" hidden="false" customHeight="false" outlineLevel="0" collapsed="false">
      <c r="A288" s="72"/>
      <c r="B288" s="73"/>
      <c r="C288" s="73"/>
      <c r="D288" s="74" t="str">
        <f aca="false">IFERROR(INDEX(Categories!$B$2:$B$33,MATCH(C288,Categories!$A$2:$A$33,0)),"")</f>
        <v/>
      </c>
      <c r="E288" s="75"/>
      <c r="F288" s="74" t="str">
        <f aca="false">IF(A288="","",MONTH(A288))</f>
        <v/>
      </c>
      <c r="G288" s="73"/>
      <c r="H288" s="73"/>
    </row>
    <row r="289" customFormat="false" ht="15" hidden="false" customHeight="false" outlineLevel="0" collapsed="false">
      <c r="A289" s="76"/>
      <c r="B289" s="77"/>
      <c r="C289" s="77"/>
      <c r="D289" s="78" t="str">
        <f aca="false">IFERROR(INDEX(Categories!$B$2:$B$33,MATCH(C289,Categories!$A$2:$A$33,0)),"")</f>
        <v/>
      </c>
      <c r="E289" s="79"/>
      <c r="F289" s="78" t="str">
        <f aca="false">IF(A289="","",MONTH(A289))</f>
        <v/>
      </c>
      <c r="G289" s="77"/>
      <c r="H289" s="77"/>
    </row>
    <row r="290" customFormat="false" ht="15" hidden="false" customHeight="false" outlineLevel="0" collapsed="false">
      <c r="A290" s="72"/>
      <c r="B290" s="73"/>
      <c r="C290" s="73"/>
      <c r="D290" s="74" t="str">
        <f aca="false">IFERROR(INDEX(Categories!$B$2:$B$33,MATCH(C290,Categories!$A$2:$A$33,0)),"")</f>
        <v/>
      </c>
      <c r="E290" s="75"/>
      <c r="F290" s="74" t="str">
        <f aca="false">IF(A290="","",MONTH(A290))</f>
        <v/>
      </c>
      <c r="G290" s="73"/>
      <c r="H290" s="73"/>
    </row>
    <row r="291" customFormat="false" ht="15" hidden="false" customHeight="false" outlineLevel="0" collapsed="false">
      <c r="A291" s="76"/>
      <c r="B291" s="77"/>
      <c r="C291" s="77"/>
      <c r="D291" s="78" t="str">
        <f aca="false">IFERROR(INDEX(Categories!$B$2:$B$33,MATCH(C291,Categories!$A$2:$A$33,0)),"")</f>
        <v/>
      </c>
      <c r="E291" s="79"/>
      <c r="F291" s="78" t="str">
        <f aca="false">IF(A291="","",MONTH(A291))</f>
        <v/>
      </c>
      <c r="G291" s="77"/>
      <c r="H291" s="77"/>
    </row>
    <row r="292" customFormat="false" ht="15" hidden="false" customHeight="false" outlineLevel="0" collapsed="false">
      <c r="A292" s="72"/>
      <c r="B292" s="73"/>
      <c r="C292" s="73"/>
      <c r="D292" s="74" t="str">
        <f aca="false">IFERROR(INDEX(Categories!$B$2:$B$33,MATCH(C292,Categories!$A$2:$A$33,0)),"")</f>
        <v/>
      </c>
      <c r="E292" s="75"/>
      <c r="F292" s="74" t="str">
        <f aca="false">IF(A292="","",MONTH(A292))</f>
        <v/>
      </c>
      <c r="G292" s="73"/>
      <c r="H292" s="73"/>
    </row>
    <row r="293" customFormat="false" ht="15" hidden="false" customHeight="false" outlineLevel="0" collapsed="false">
      <c r="A293" s="76"/>
      <c r="B293" s="77"/>
      <c r="C293" s="77"/>
      <c r="D293" s="78" t="str">
        <f aca="false">IFERROR(INDEX(Categories!$B$2:$B$33,MATCH(C293,Categories!$A$2:$A$33,0)),"")</f>
        <v/>
      </c>
      <c r="E293" s="79"/>
      <c r="F293" s="78" t="str">
        <f aca="false">IF(A293="","",MONTH(A293))</f>
        <v/>
      </c>
      <c r="G293" s="77"/>
      <c r="H293" s="77"/>
    </row>
    <row r="294" customFormat="false" ht="15" hidden="false" customHeight="false" outlineLevel="0" collapsed="false">
      <c r="A294" s="72"/>
      <c r="B294" s="73"/>
      <c r="C294" s="73"/>
      <c r="D294" s="74" t="str">
        <f aca="false">IFERROR(INDEX(Categories!$B$2:$B$33,MATCH(C294,Categories!$A$2:$A$33,0)),"")</f>
        <v/>
      </c>
      <c r="E294" s="75"/>
      <c r="F294" s="74" t="str">
        <f aca="false">IF(A294="","",MONTH(A294))</f>
        <v/>
      </c>
      <c r="G294" s="73"/>
      <c r="H294" s="73"/>
    </row>
    <row r="295" customFormat="false" ht="15" hidden="false" customHeight="false" outlineLevel="0" collapsed="false">
      <c r="A295" s="76"/>
      <c r="B295" s="77"/>
      <c r="C295" s="77"/>
      <c r="D295" s="78" t="str">
        <f aca="false">IFERROR(INDEX(Categories!$B$2:$B$33,MATCH(C295,Categories!$A$2:$A$33,0)),"")</f>
        <v/>
      </c>
      <c r="E295" s="79"/>
      <c r="F295" s="78" t="str">
        <f aca="false">IF(A295="","",MONTH(A295))</f>
        <v/>
      </c>
      <c r="G295" s="77"/>
      <c r="H295" s="77"/>
    </row>
    <row r="296" customFormat="false" ht="15" hidden="false" customHeight="false" outlineLevel="0" collapsed="false">
      <c r="A296" s="72"/>
      <c r="B296" s="73"/>
      <c r="C296" s="73"/>
      <c r="D296" s="74" t="str">
        <f aca="false">IFERROR(INDEX(Categories!$B$2:$B$33,MATCH(C296,Categories!$A$2:$A$33,0)),"")</f>
        <v/>
      </c>
      <c r="E296" s="75"/>
      <c r="F296" s="74" t="str">
        <f aca="false">IF(A296="","",MONTH(A296))</f>
        <v/>
      </c>
      <c r="G296" s="73"/>
      <c r="H296" s="73"/>
    </row>
    <row r="297" customFormat="false" ht="15" hidden="false" customHeight="false" outlineLevel="0" collapsed="false">
      <c r="A297" s="76"/>
      <c r="B297" s="77"/>
      <c r="C297" s="77"/>
      <c r="D297" s="78" t="str">
        <f aca="false">IFERROR(INDEX(Categories!$B$2:$B$33,MATCH(C297,Categories!$A$2:$A$33,0)),"")</f>
        <v/>
      </c>
      <c r="E297" s="79"/>
      <c r="F297" s="78" t="str">
        <f aca="false">IF(A297="","",MONTH(A297))</f>
        <v/>
      </c>
      <c r="G297" s="77"/>
      <c r="H297" s="77"/>
    </row>
    <row r="298" customFormat="false" ht="15" hidden="false" customHeight="false" outlineLevel="0" collapsed="false">
      <c r="A298" s="72"/>
      <c r="B298" s="73"/>
      <c r="C298" s="73"/>
      <c r="D298" s="74" t="str">
        <f aca="false">IFERROR(INDEX(Categories!$B$2:$B$33,MATCH(C298,Categories!$A$2:$A$33,0)),"")</f>
        <v/>
      </c>
      <c r="E298" s="75"/>
      <c r="F298" s="74" t="str">
        <f aca="false">IF(A298="","",MONTH(A298))</f>
        <v/>
      </c>
      <c r="G298" s="73"/>
      <c r="H298" s="73"/>
    </row>
    <row r="299" customFormat="false" ht="15" hidden="false" customHeight="false" outlineLevel="0" collapsed="false">
      <c r="A299" s="76"/>
      <c r="B299" s="77"/>
      <c r="C299" s="77"/>
      <c r="D299" s="78" t="str">
        <f aca="false">IFERROR(INDEX(Categories!$B$2:$B$33,MATCH(C299,Categories!$A$2:$A$33,0)),"")</f>
        <v/>
      </c>
      <c r="E299" s="79"/>
      <c r="F299" s="78" t="str">
        <f aca="false">IF(A299="","",MONTH(A299))</f>
        <v/>
      </c>
      <c r="G299" s="77"/>
      <c r="H299" s="77"/>
    </row>
    <row r="300" customFormat="false" ht="15" hidden="false" customHeight="false" outlineLevel="0" collapsed="false">
      <c r="A300" s="72"/>
      <c r="B300" s="73"/>
      <c r="C300" s="73"/>
      <c r="D300" s="74" t="str">
        <f aca="false">IFERROR(INDEX(Categories!$B$2:$B$33,MATCH(C300,Categories!$A$2:$A$33,0)),"")</f>
        <v/>
      </c>
      <c r="E300" s="75"/>
      <c r="F300" s="74" t="str">
        <f aca="false">IF(A300="","",MONTH(A300))</f>
        <v/>
      </c>
      <c r="G300" s="73"/>
      <c r="H300" s="73"/>
    </row>
    <row r="301" customFormat="false" ht="15" hidden="false" customHeight="false" outlineLevel="0" collapsed="false">
      <c r="A301" s="76"/>
      <c r="B301" s="77"/>
      <c r="C301" s="77"/>
      <c r="D301" s="78" t="str">
        <f aca="false">IFERROR(INDEX(Categories!$B$2:$B$33,MATCH(C301,Categories!$A$2:$A$33,0)),"")</f>
        <v/>
      </c>
      <c r="E301" s="79"/>
      <c r="F301" s="78" t="str">
        <f aca="false">IF(A301="","",MONTH(A301))</f>
        <v/>
      </c>
      <c r="G301" s="77"/>
      <c r="H301" s="77"/>
    </row>
    <row r="302" customFormat="false" ht="15" hidden="false" customHeight="false" outlineLevel="0" collapsed="false">
      <c r="A302" s="72"/>
      <c r="B302" s="73"/>
      <c r="C302" s="73"/>
      <c r="D302" s="74" t="str">
        <f aca="false">IFERROR(INDEX(Categories!$B$2:$B$33,MATCH(C302,Categories!$A$2:$A$33,0)),"")</f>
        <v/>
      </c>
      <c r="E302" s="75"/>
      <c r="F302" s="74" t="str">
        <f aca="false">IF(A302="","",MONTH(A302))</f>
        <v/>
      </c>
      <c r="G302" s="73"/>
      <c r="H302" s="73"/>
    </row>
    <row r="303" customFormat="false" ht="15" hidden="false" customHeight="false" outlineLevel="0" collapsed="false">
      <c r="A303" s="76"/>
      <c r="B303" s="77"/>
      <c r="C303" s="77"/>
      <c r="D303" s="78" t="str">
        <f aca="false">IFERROR(INDEX(Categories!$B$2:$B$33,MATCH(C303,Categories!$A$2:$A$33,0)),"")</f>
        <v/>
      </c>
      <c r="E303" s="79"/>
      <c r="F303" s="78" t="str">
        <f aca="false">IF(A303="","",MONTH(A303))</f>
        <v/>
      </c>
      <c r="G303" s="77"/>
      <c r="H303" s="77"/>
    </row>
    <row r="304" customFormat="false" ht="15" hidden="false" customHeight="false" outlineLevel="0" collapsed="false">
      <c r="A304" s="72"/>
      <c r="B304" s="73"/>
      <c r="C304" s="73"/>
      <c r="D304" s="74" t="str">
        <f aca="false">IFERROR(INDEX(Categories!$B$2:$B$33,MATCH(C304,Categories!$A$2:$A$33,0)),"")</f>
        <v/>
      </c>
      <c r="E304" s="75"/>
      <c r="F304" s="74" t="str">
        <f aca="false">IF(A304="","",MONTH(A304))</f>
        <v/>
      </c>
      <c r="G304" s="73"/>
      <c r="H304" s="73"/>
    </row>
    <row r="305" customFormat="false" ht="15" hidden="false" customHeight="false" outlineLevel="0" collapsed="false">
      <c r="A305" s="76"/>
      <c r="B305" s="77"/>
      <c r="C305" s="77"/>
      <c r="D305" s="78" t="str">
        <f aca="false">IFERROR(INDEX(Categories!$B$2:$B$33,MATCH(C305,Categories!$A$2:$A$33,0)),"")</f>
        <v/>
      </c>
      <c r="E305" s="79"/>
      <c r="F305" s="78" t="str">
        <f aca="false">IF(A305="","",MONTH(A305))</f>
        <v/>
      </c>
      <c r="G305" s="77"/>
      <c r="H305" s="77"/>
    </row>
    <row r="306" customFormat="false" ht="15" hidden="false" customHeight="false" outlineLevel="0" collapsed="false">
      <c r="A306" s="72"/>
      <c r="B306" s="73"/>
      <c r="C306" s="73"/>
      <c r="D306" s="74" t="str">
        <f aca="false">IFERROR(INDEX(Categories!$B$2:$B$33,MATCH(C306,Categories!$A$2:$A$33,0)),"")</f>
        <v/>
      </c>
      <c r="E306" s="75"/>
      <c r="F306" s="74" t="str">
        <f aca="false">IF(A306="","",MONTH(A306))</f>
        <v/>
      </c>
      <c r="G306" s="73"/>
      <c r="H306" s="73"/>
    </row>
    <row r="307" customFormat="false" ht="15" hidden="false" customHeight="false" outlineLevel="0" collapsed="false">
      <c r="A307" s="76"/>
      <c r="B307" s="77"/>
      <c r="C307" s="77"/>
      <c r="D307" s="78" t="str">
        <f aca="false">IFERROR(INDEX(Categories!$B$2:$B$33,MATCH(C307,Categories!$A$2:$A$33,0)),"")</f>
        <v/>
      </c>
      <c r="E307" s="79"/>
      <c r="F307" s="78" t="str">
        <f aca="false">IF(A307="","",MONTH(A307))</f>
        <v/>
      </c>
      <c r="G307" s="77"/>
      <c r="H307" s="77"/>
    </row>
    <row r="308" customFormat="false" ht="15" hidden="false" customHeight="false" outlineLevel="0" collapsed="false">
      <c r="A308" s="72"/>
      <c r="B308" s="73"/>
      <c r="C308" s="73"/>
      <c r="D308" s="74" t="str">
        <f aca="false">IFERROR(INDEX(Categories!$B$2:$B$33,MATCH(C308,Categories!$A$2:$A$33,0)),"")</f>
        <v/>
      </c>
      <c r="E308" s="75"/>
      <c r="F308" s="74" t="str">
        <f aca="false">IF(A308="","",MONTH(A308))</f>
        <v/>
      </c>
      <c r="G308" s="73"/>
      <c r="H308" s="73"/>
    </row>
    <row r="309" customFormat="false" ht="15" hidden="false" customHeight="false" outlineLevel="0" collapsed="false">
      <c r="A309" s="76"/>
      <c r="B309" s="77"/>
      <c r="C309" s="77"/>
      <c r="D309" s="78" t="str">
        <f aca="false">IFERROR(INDEX(Categories!$B$2:$B$33,MATCH(C309,Categories!$A$2:$A$33,0)),"")</f>
        <v/>
      </c>
      <c r="E309" s="79"/>
      <c r="F309" s="78" t="str">
        <f aca="false">IF(A309="","",MONTH(A309))</f>
        <v/>
      </c>
      <c r="G309" s="77"/>
      <c r="H309" s="77"/>
    </row>
    <row r="310" customFormat="false" ht="15" hidden="false" customHeight="false" outlineLevel="0" collapsed="false">
      <c r="A310" s="72"/>
      <c r="B310" s="73"/>
      <c r="C310" s="73"/>
      <c r="D310" s="74" t="str">
        <f aca="false">IFERROR(INDEX(Categories!$B$2:$B$33,MATCH(C310,Categories!$A$2:$A$33,0)),"")</f>
        <v/>
      </c>
      <c r="E310" s="75"/>
      <c r="F310" s="74" t="str">
        <f aca="false">IF(A310="","",MONTH(A310))</f>
        <v/>
      </c>
      <c r="G310" s="73"/>
      <c r="H310" s="73"/>
    </row>
    <row r="311" customFormat="false" ht="15" hidden="false" customHeight="false" outlineLevel="0" collapsed="false">
      <c r="A311" s="76"/>
      <c r="B311" s="77"/>
      <c r="C311" s="77"/>
      <c r="D311" s="78" t="str">
        <f aca="false">IFERROR(INDEX(Categories!$B$2:$B$33,MATCH(C311,Categories!$A$2:$A$33,0)),"")</f>
        <v/>
      </c>
      <c r="E311" s="79"/>
      <c r="F311" s="78" t="str">
        <f aca="false">IF(A311="","",MONTH(A311))</f>
        <v/>
      </c>
      <c r="G311" s="77"/>
      <c r="H311" s="77"/>
    </row>
    <row r="312" customFormat="false" ht="15" hidden="false" customHeight="false" outlineLevel="0" collapsed="false">
      <c r="A312" s="72"/>
      <c r="B312" s="73"/>
      <c r="C312" s="73"/>
      <c r="D312" s="74" t="str">
        <f aca="false">IFERROR(INDEX(Categories!$B$2:$B$33,MATCH(C312,Categories!$A$2:$A$33,0)),"")</f>
        <v/>
      </c>
      <c r="E312" s="75"/>
      <c r="F312" s="74" t="str">
        <f aca="false">IF(A312="","",MONTH(A312))</f>
        <v/>
      </c>
      <c r="G312" s="73"/>
      <c r="H312" s="73"/>
    </row>
    <row r="313" customFormat="false" ht="15" hidden="false" customHeight="false" outlineLevel="0" collapsed="false">
      <c r="A313" s="76"/>
      <c r="B313" s="77"/>
      <c r="C313" s="77"/>
      <c r="D313" s="78" t="str">
        <f aca="false">IFERROR(INDEX(Categories!$B$2:$B$33,MATCH(C313,Categories!$A$2:$A$33,0)),"")</f>
        <v/>
      </c>
      <c r="E313" s="79"/>
      <c r="F313" s="78" t="str">
        <f aca="false">IF(A313="","",MONTH(A313))</f>
        <v/>
      </c>
      <c r="G313" s="77"/>
      <c r="H313" s="77"/>
    </row>
    <row r="314" customFormat="false" ht="15" hidden="false" customHeight="false" outlineLevel="0" collapsed="false">
      <c r="A314" s="72"/>
      <c r="B314" s="73"/>
      <c r="C314" s="73"/>
      <c r="D314" s="74" t="str">
        <f aca="false">IFERROR(INDEX(Categories!$B$2:$B$33,MATCH(C314,Categories!$A$2:$A$33,0)),"")</f>
        <v/>
      </c>
      <c r="E314" s="75"/>
      <c r="F314" s="74" t="str">
        <f aca="false">IF(A314="","",MONTH(A314))</f>
        <v/>
      </c>
      <c r="G314" s="73"/>
      <c r="H314" s="73"/>
    </row>
    <row r="315" customFormat="false" ht="15" hidden="false" customHeight="false" outlineLevel="0" collapsed="false">
      <c r="A315" s="76"/>
      <c r="B315" s="77"/>
      <c r="C315" s="77"/>
      <c r="D315" s="78" t="str">
        <f aca="false">IFERROR(INDEX(Categories!$B$2:$B$33,MATCH(C315,Categories!$A$2:$A$33,0)),"")</f>
        <v/>
      </c>
      <c r="E315" s="79"/>
      <c r="F315" s="78" t="str">
        <f aca="false">IF(A315="","",MONTH(A315))</f>
        <v/>
      </c>
      <c r="G315" s="77"/>
      <c r="H315" s="77"/>
    </row>
    <row r="316" customFormat="false" ht="15" hidden="false" customHeight="false" outlineLevel="0" collapsed="false">
      <c r="A316" s="72"/>
      <c r="B316" s="73"/>
      <c r="C316" s="73"/>
      <c r="D316" s="74" t="str">
        <f aca="false">IFERROR(INDEX(Categories!$B$2:$B$33,MATCH(C316,Categories!$A$2:$A$33,0)),"")</f>
        <v/>
      </c>
      <c r="E316" s="75"/>
      <c r="F316" s="74" t="str">
        <f aca="false">IF(A316="","",MONTH(A316))</f>
        <v/>
      </c>
      <c r="G316" s="73"/>
      <c r="H316" s="73"/>
    </row>
    <row r="317" customFormat="false" ht="15" hidden="false" customHeight="false" outlineLevel="0" collapsed="false">
      <c r="A317" s="76"/>
      <c r="B317" s="77"/>
      <c r="C317" s="77"/>
      <c r="D317" s="78" t="str">
        <f aca="false">IFERROR(INDEX(Categories!$B$2:$B$33,MATCH(C317,Categories!$A$2:$A$33,0)),"")</f>
        <v/>
      </c>
      <c r="E317" s="79"/>
      <c r="F317" s="78" t="str">
        <f aca="false">IF(A317="","",MONTH(A317))</f>
        <v/>
      </c>
      <c r="G317" s="77"/>
      <c r="H317" s="77"/>
    </row>
    <row r="318" customFormat="false" ht="15" hidden="false" customHeight="false" outlineLevel="0" collapsed="false">
      <c r="A318" s="72"/>
      <c r="B318" s="73"/>
      <c r="C318" s="73"/>
      <c r="D318" s="74" t="str">
        <f aca="false">IFERROR(INDEX(Categories!$B$2:$B$33,MATCH(C318,Categories!$A$2:$A$33,0)),"")</f>
        <v/>
      </c>
      <c r="E318" s="75"/>
      <c r="F318" s="74" t="str">
        <f aca="false">IF(A318="","",MONTH(A318))</f>
        <v/>
      </c>
      <c r="G318" s="73"/>
      <c r="H318" s="73"/>
    </row>
    <row r="319" customFormat="false" ht="15" hidden="false" customHeight="false" outlineLevel="0" collapsed="false">
      <c r="A319" s="76"/>
      <c r="B319" s="77"/>
      <c r="C319" s="77"/>
      <c r="D319" s="78" t="str">
        <f aca="false">IFERROR(INDEX(Categories!$B$2:$B$33,MATCH(C319,Categories!$A$2:$A$33,0)),"")</f>
        <v/>
      </c>
      <c r="E319" s="79"/>
      <c r="F319" s="78" t="str">
        <f aca="false">IF(A319="","",MONTH(A319))</f>
        <v/>
      </c>
      <c r="G319" s="77"/>
      <c r="H319" s="77"/>
    </row>
    <row r="320" customFormat="false" ht="15" hidden="false" customHeight="false" outlineLevel="0" collapsed="false">
      <c r="A320" s="72"/>
      <c r="B320" s="73"/>
      <c r="C320" s="73"/>
      <c r="D320" s="74" t="str">
        <f aca="false">IFERROR(INDEX(Categories!$B$2:$B$33,MATCH(C320,Categories!$A$2:$A$33,0)),"")</f>
        <v/>
      </c>
      <c r="E320" s="75"/>
      <c r="F320" s="74" t="str">
        <f aca="false">IF(A320="","",MONTH(A320))</f>
        <v/>
      </c>
      <c r="G320" s="73"/>
      <c r="H320" s="73"/>
    </row>
    <row r="321" customFormat="false" ht="15" hidden="false" customHeight="false" outlineLevel="0" collapsed="false">
      <c r="A321" s="76"/>
      <c r="B321" s="77"/>
      <c r="C321" s="77"/>
      <c r="D321" s="78" t="str">
        <f aca="false">IFERROR(INDEX(Categories!$B$2:$B$33,MATCH(C321,Categories!$A$2:$A$33,0)),"")</f>
        <v/>
      </c>
      <c r="E321" s="79"/>
      <c r="F321" s="78" t="str">
        <f aca="false">IF(A321="","",MONTH(A321))</f>
        <v/>
      </c>
      <c r="G321" s="77"/>
      <c r="H321" s="77"/>
    </row>
    <row r="322" customFormat="false" ht="15" hidden="false" customHeight="false" outlineLevel="0" collapsed="false">
      <c r="A322" s="72"/>
      <c r="B322" s="73"/>
      <c r="C322" s="73"/>
      <c r="D322" s="74" t="str">
        <f aca="false">IFERROR(INDEX(Categories!$B$2:$B$33,MATCH(C322,Categories!$A$2:$A$33,0)),"")</f>
        <v/>
      </c>
      <c r="E322" s="75"/>
      <c r="F322" s="74" t="str">
        <f aca="false">IF(A322="","",MONTH(A322))</f>
        <v/>
      </c>
      <c r="G322" s="73"/>
      <c r="H322" s="73"/>
    </row>
    <row r="323" customFormat="false" ht="15" hidden="false" customHeight="false" outlineLevel="0" collapsed="false">
      <c r="A323" s="76"/>
      <c r="B323" s="77"/>
      <c r="C323" s="77"/>
      <c r="D323" s="78" t="str">
        <f aca="false">IFERROR(INDEX(Categories!$B$2:$B$33,MATCH(C323,Categories!$A$2:$A$33,0)),"")</f>
        <v/>
      </c>
      <c r="E323" s="79"/>
      <c r="F323" s="78" t="str">
        <f aca="false">IF(A323="","",MONTH(A323))</f>
        <v/>
      </c>
      <c r="G323" s="77"/>
      <c r="H323" s="77"/>
    </row>
    <row r="324" customFormat="false" ht="15" hidden="false" customHeight="false" outlineLevel="0" collapsed="false">
      <c r="A324" s="72"/>
      <c r="B324" s="73"/>
      <c r="C324" s="73"/>
      <c r="D324" s="74" t="str">
        <f aca="false">IFERROR(INDEX(Categories!$B$2:$B$33,MATCH(C324,Categories!$A$2:$A$33,0)),"")</f>
        <v/>
      </c>
      <c r="E324" s="75"/>
      <c r="F324" s="74" t="str">
        <f aca="false">IF(A324="","",MONTH(A324))</f>
        <v/>
      </c>
      <c r="G324" s="73"/>
      <c r="H324" s="73"/>
    </row>
    <row r="325" customFormat="false" ht="15" hidden="false" customHeight="false" outlineLevel="0" collapsed="false">
      <c r="A325" s="76"/>
      <c r="B325" s="77"/>
      <c r="C325" s="77"/>
      <c r="D325" s="78" t="str">
        <f aca="false">IFERROR(INDEX(Categories!$B$2:$B$33,MATCH(C325,Categories!$A$2:$A$33,0)),"")</f>
        <v/>
      </c>
      <c r="E325" s="79"/>
      <c r="F325" s="78" t="str">
        <f aca="false">IF(A325="","",MONTH(A325))</f>
        <v/>
      </c>
      <c r="G325" s="77"/>
      <c r="H325" s="77"/>
    </row>
    <row r="326" customFormat="false" ht="15" hidden="false" customHeight="false" outlineLevel="0" collapsed="false">
      <c r="A326" s="72"/>
      <c r="B326" s="73"/>
      <c r="C326" s="73"/>
      <c r="D326" s="74" t="str">
        <f aca="false">IFERROR(INDEX(Categories!$B$2:$B$33,MATCH(C326,Categories!$A$2:$A$33,0)),"")</f>
        <v/>
      </c>
      <c r="E326" s="75"/>
      <c r="F326" s="74" t="str">
        <f aca="false">IF(A326="","",MONTH(A326))</f>
        <v/>
      </c>
      <c r="G326" s="73"/>
      <c r="H326" s="73"/>
    </row>
    <row r="327" customFormat="false" ht="15" hidden="false" customHeight="false" outlineLevel="0" collapsed="false">
      <c r="A327" s="76"/>
      <c r="B327" s="77"/>
      <c r="C327" s="77"/>
      <c r="D327" s="78" t="str">
        <f aca="false">IFERROR(INDEX(Categories!$B$2:$B$33,MATCH(C327,Categories!$A$2:$A$33,0)),"")</f>
        <v/>
      </c>
      <c r="E327" s="79"/>
      <c r="F327" s="78" t="str">
        <f aca="false">IF(A327="","",MONTH(A327))</f>
        <v/>
      </c>
      <c r="G327" s="77"/>
      <c r="H327" s="77"/>
    </row>
    <row r="328" customFormat="false" ht="15" hidden="false" customHeight="false" outlineLevel="0" collapsed="false">
      <c r="A328" s="72"/>
      <c r="B328" s="73"/>
      <c r="C328" s="73"/>
      <c r="D328" s="74" t="str">
        <f aca="false">IFERROR(INDEX(Categories!$B$2:$B$33,MATCH(C328,Categories!$A$2:$A$33,0)),"")</f>
        <v/>
      </c>
      <c r="E328" s="75"/>
      <c r="F328" s="74" t="str">
        <f aca="false">IF(A328="","",MONTH(A328))</f>
        <v/>
      </c>
      <c r="G328" s="73"/>
      <c r="H328" s="73"/>
    </row>
    <row r="329" customFormat="false" ht="15" hidden="false" customHeight="false" outlineLevel="0" collapsed="false">
      <c r="A329" s="76"/>
      <c r="B329" s="77"/>
      <c r="C329" s="77"/>
      <c r="D329" s="78" t="str">
        <f aca="false">IFERROR(INDEX(Categories!$B$2:$B$33,MATCH(C329,Categories!$A$2:$A$33,0)),"")</f>
        <v/>
      </c>
      <c r="E329" s="79"/>
      <c r="F329" s="78" t="str">
        <f aca="false">IF(A329="","",MONTH(A329))</f>
        <v/>
      </c>
      <c r="G329" s="77"/>
      <c r="H329" s="77"/>
    </row>
    <row r="330" customFormat="false" ht="15" hidden="false" customHeight="false" outlineLevel="0" collapsed="false">
      <c r="A330" s="72"/>
      <c r="B330" s="73"/>
      <c r="C330" s="73"/>
      <c r="D330" s="74" t="str">
        <f aca="false">IFERROR(INDEX(Categories!$B$2:$B$33,MATCH(C330,Categories!$A$2:$A$33,0)),"")</f>
        <v/>
      </c>
      <c r="E330" s="75"/>
      <c r="F330" s="74" t="str">
        <f aca="false">IF(A330="","",MONTH(A330))</f>
        <v/>
      </c>
      <c r="G330" s="73"/>
      <c r="H330" s="73"/>
    </row>
    <row r="331" customFormat="false" ht="15" hidden="false" customHeight="false" outlineLevel="0" collapsed="false">
      <c r="A331" s="76"/>
      <c r="B331" s="77"/>
      <c r="C331" s="77"/>
      <c r="D331" s="78" t="str">
        <f aca="false">IFERROR(INDEX(Categories!$B$2:$B$33,MATCH(C331,Categories!$A$2:$A$33,0)),"")</f>
        <v/>
      </c>
      <c r="E331" s="79"/>
      <c r="F331" s="78" t="str">
        <f aca="false">IF(A331="","",MONTH(A331))</f>
        <v/>
      </c>
      <c r="G331" s="77"/>
      <c r="H331" s="77"/>
    </row>
    <row r="332" customFormat="false" ht="15" hidden="false" customHeight="false" outlineLevel="0" collapsed="false">
      <c r="A332" s="72"/>
      <c r="B332" s="73"/>
      <c r="C332" s="73"/>
      <c r="D332" s="74" t="str">
        <f aca="false">IFERROR(INDEX(Categories!$B$2:$B$33,MATCH(C332,Categories!$A$2:$A$33,0)),"")</f>
        <v/>
      </c>
      <c r="E332" s="75"/>
      <c r="F332" s="74" t="str">
        <f aca="false">IF(A332="","",MONTH(A332))</f>
        <v/>
      </c>
      <c r="G332" s="73"/>
      <c r="H332" s="73"/>
    </row>
    <row r="333" customFormat="false" ht="15" hidden="false" customHeight="false" outlineLevel="0" collapsed="false">
      <c r="A333" s="76"/>
      <c r="B333" s="77"/>
      <c r="C333" s="77"/>
      <c r="D333" s="78" t="str">
        <f aca="false">IFERROR(INDEX(Categories!$B$2:$B$33,MATCH(C333,Categories!$A$2:$A$33,0)),"")</f>
        <v/>
      </c>
      <c r="E333" s="79"/>
      <c r="F333" s="78" t="str">
        <f aca="false">IF(A333="","",MONTH(A333))</f>
        <v/>
      </c>
      <c r="G333" s="77"/>
      <c r="H333" s="77"/>
    </row>
    <row r="334" customFormat="false" ht="15" hidden="false" customHeight="false" outlineLevel="0" collapsed="false">
      <c r="A334" s="72"/>
      <c r="B334" s="73"/>
      <c r="C334" s="73"/>
      <c r="D334" s="74" t="str">
        <f aca="false">IFERROR(INDEX(Categories!$B$2:$B$33,MATCH(C334,Categories!$A$2:$A$33,0)),"")</f>
        <v/>
      </c>
      <c r="E334" s="75"/>
      <c r="F334" s="74" t="str">
        <f aca="false">IF(A334="","",MONTH(A334))</f>
        <v/>
      </c>
      <c r="G334" s="73"/>
      <c r="H334" s="73"/>
    </row>
    <row r="335" customFormat="false" ht="15" hidden="false" customHeight="false" outlineLevel="0" collapsed="false">
      <c r="A335" s="76"/>
      <c r="B335" s="77"/>
      <c r="C335" s="77"/>
      <c r="D335" s="78" t="str">
        <f aca="false">IFERROR(INDEX(Categories!$B$2:$B$33,MATCH(C335,Categories!$A$2:$A$33,0)),"")</f>
        <v/>
      </c>
      <c r="E335" s="79"/>
      <c r="F335" s="78" t="str">
        <f aca="false">IF(A335="","",MONTH(A335))</f>
        <v/>
      </c>
      <c r="G335" s="77"/>
      <c r="H335" s="77"/>
    </row>
    <row r="336" customFormat="false" ht="15" hidden="false" customHeight="false" outlineLevel="0" collapsed="false">
      <c r="A336" s="72"/>
      <c r="B336" s="73"/>
      <c r="C336" s="73"/>
      <c r="D336" s="74" t="str">
        <f aca="false">IFERROR(INDEX(Categories!$B$2:$B$33,MATCH(C336,Categories!$A$2:$A$33,0)),"")</f>
        <v/>
      </c>
      <c r="E336" s="75"/>
      <c r="F336" s="74" t="str">
        <f aca="false">IF(A336="","",MONTH(A336))</f>
        <v/>
      </c>
      <c r="G336" s="73"/>
      <c r="H336" s="73"/>
    </row>
    <row r="337" customFormat="false" ht="15" hidden="false" customHeight="false" outlineLevel="0" collapsed="false">
      <c r="A337" s="76"/>
      <c r="B337" s="77"/>
      <c r="C337" s="77"/>
      <c r="D337" s="78" t="str">
        <f aca="false">IFERROR(INDEX(Categories!$B$2:$B$33,MATCH(C337,Categories!$A$2:$A$33,0)),"")</f>
        <v/>
      </c>
      <c r="E337" s="79"/>
      <c r="F337" s="78" t="str">
        <f aca="false">IF(A337="","",MONTH(A337))</f>
        <v/>
      </c>
      <c r="G337" s="77"/>
      <c r="H337" s="77"/>
    </row>
    <row r="338" customFormat="false" ht="15" hidden="false" customHeight="false" outlineLevel="0" collapsed="false">
      <c r="A338" s="72"/>
      <c r="B338" s="73"/>
      <c r="C338" s="73"/>
      <c r="D338" s="74" t="str">
        <f aca="false">IFERROR(INDEX(Categories!$B$2:$B$33,MATCH(C338,Categories!$A$2:$A$33,0)),"")</f>
        <v/>
      </c>
      <c r="E338" s="75"/>
      <c r="F338" s="74" t="str">
        <f aca="false">IF(A338="","",MONTH(A338))</f>
        <v/>
      </c>
      <c r="G338" s="73"/>
      <c r="H338" s="73"/>
    </row>
    <row r="339" customFormat="false" ht="15" hidden="false" customHeight="false" outlineLevel="0" collapsed="false">
      <c r="A339" s="76"/>
      <c r="B339" s="77"/>
      <c r="C339" s="77"/>
      <c r="D339" s="78" t="str">
        <f aca="false">IFERROR(INDEX(Categories!$B$2:$B$33,MATCH(C339,Categories!$A$2:$A$33,0)),"")</f>
        <v/>
      </c>
      <c r="E339" s="79"/>
      <c r="F339" s="78" t="str">
        <f aca="false">IF(A339="","",MONTH(A339))</f>
        <v/>
      </c>
      <c r="G339" s="77"/>
      <c r="H339" s="77"/>
    </row>
    <row r="340" customFormat="false" ht="15" hidden="false" customHeight="false" outlineLevel="0" collapsed="false">
      <c r="A340" s="72"/>
      <c r="B340" s="73"/>
      <c r="C340" s="73"/>
      <c r="D340" s="74" t="str">
        <f aca="false">IFERROR(INDEX(Categories!$B$2:$B$33,MATCH(C340,Categories!$A$2:$A$33,0)),"")</f>
        <v/>
      </c>
      <c r="E340" s="75"/>
      <c r="F340" s="74" t="str">
        <f aca="false">IF(A340="","",MONTH(A340))</f>
        <v/>
      </c>
      <c r="G340" s="73"/>
      <c r="H340" s="73"/>
    </row>
    <row r="341" customFormat="false" ht="15" hidden="false" customHeight="false" outlineLevel="0" collapsed="false">
      <c r="A341" s="76"/>
      <c r="B341" s="77"/>
      <c r="C341" s="77"/>
      <c r="D341" s="78" t="str">
        <f aca="false">IFERROR(INDEX(Categories!$B$2:$B$33,MATCH(C341,Categories!$A$2:$A$33,0)),"")</f>
        <v/>
      </c>
      <c r="E341" s="79"/>
      <c r="F341" s="78" t="str">
        <f aca="false">IF(A341="","",MONTH(A341))</f>
        <v/>
      </c>
      <c r="G341" s="77"/>
      <c r="H341" s="77"/>
    </row>
    <row r="342" customFormat="false" ht="15" hidden="false" customHeight="false" outlineLevel="0" collapsed="false">
      <c r="A342" s="72"/>
      <c r="B342" s="73"/>
      <c r="C342" s="73"/>
      <c r="D342" s="74" t="str">
        <f aca="false">IFERROR(INDEX(Categories!$B$2:$B$33,MATCH(C342,Categories!$A$2:$A$33,0)),"")</f>
        <v/>
      </c>
      <c r="E342" s="75"/>
      <c r="F342" s="74" t="str">
        <f aca="false">IF(A342="","",MONTH(A342))</f>
        <v/>
      </c>
      <c r="G342" s="73"/>
      <c r="H342" s="73"/>
    </row>
    <row r="343" customFormat="false" ht="15" hidden="false" customHeight="false" outlineLevel="0" collapsed="false">
      <c r="A343" s="76"/>
      <c r="B343" s="77"/>
      <c r="C343" s="77"/>
      <c r="D343" s="78" t="str">
        <f aca="false">IFERROR(INDEX(Categories!$B$2:$B$33,MATCH(C343,Categories!$A$2:$A$33,0)),"")</f>
        <v/>
      </c>
      <c r="E343" s="79"/>
      <c r="F343" s="78" t="str">
        <f aca="false">IF(A343="","",MONTH(A343))</f>
        <v/>
      </c>
      <c r="G343" s="77"/>
      <c r="H343" s="77"/>
    </row>
    <row r="344" customFormat="false" ht="15" hidden="false" customHeight="false" outlineLevel="0" collapsed="false">
      <c r="A344" s="72"/>
      <c r="B344" s="73"/>
      <c r="C344" s="73"/>
      <c r="D344" s="74" t="str">
        <f aca="false">IFERROR(INDEX(Categories!$B$2:$B$33,MATCH(C344,Categories!$A$2:$A$33,0)),"")</f>
        <v/>
      </c>
      <c r="E344" s="75"/>
      <c r="F344" s="74" t="str">
        <f aca="false">IF(A344="","",MONTH(A344))</f>
        <v/>
      </c>
      <c r="G344" s="73"/>
      <c r="H344" s="73"/>
    </row>
    <row r="345" customFormat="false" ht="15" hidden="false" customHeight="false" outlineLevel="0" collapsed="false">
      <c r="A345" s="76"/>
      <c r="B345" s="77"/>
      <c r="C345" s="77"/>
      <c r="D345" s="78" t="str">
        <f aca="false">IFERROR(INDEX(Categories!$B$2:$B$33,MATCH(C345,Categories!$A$2:$A$33,0)),"")</f>
        <v/>
      </c>
      <c r="E345" s="79"/>
      <c r="F345" s="78" t="str">
        <f aca="false">IF(A345="","",MONTH(A345))</f>
        <v/>
      </c>
      <c r="G345" s="77"/>
      <c r="H345" s="77"/>
    </row>
    <row r="346" customFormat="false" ht="15" hidden="false" customHeight="false" outlineLevel="0" collapsed="false">
      <c r="A346" s="72"/>
      <c r="B346" s="73"/>
      <c r="C346" s="73"/>
      <c r="D346" s="74" t="str">
        <f aca="false">IFERROR(INDEX(Categories!$B$2:$B$33,MATCH(C346,Categories!$A$2:$A$33,0)),"")</f>
        <v/>
      </c>
      <c r="E346" s="75"/>
      <c r="F346" s="74" t="str">
        <f aca="false">IF(A346="","",MONTH(A346))</f>
        <v/>
      </c>
      <c r="G346" s="73"/>
      <c r="H346" s="73"/>
    </row>
    <row r="347" customFormat="false" ht="15" hidden="false" customHeight="false" outlineLevel="0" collapsed="false">
      <c r="A347" s="76"/>
      <c r="B347" s="77"/>
      <c r="C347" s="77"/>
      <c r="D347" s="78" t="str">
        <f aca="false">IFERROR(INDEX(Categories!$B$2:$B$33,MATCH(C347,Categories!$A$2:$A$33,0)),"")</f>
        <v/>
      </c>
      <c r="E347" s="79"/>
      <c r="F347" s="78" t="str">
        <f aca="false">IF(A347="","",MONTH(A347))</f>
        <v/>
      </c>
      <c r="G347" s="77"/>
      <c r="H347" s="77"/>
    </row>
    <row r="348" customFormat="false" ht="15" hidden="false" customHeight="false" outlineLevel="0" collapsed="false">
      <c r="A348" s="72"/>
      <c r="B348" s="73"/>
      <c r="C348" s="73"/>
      <c r="D348" s="74" t="str">
        <f aca="false">IFERROR(INDEX(Categories!$B$2:$B$33,MATCH(C348,Categories!$A$2:$A$33,0)),"")</f>
        <v/>
      </c>
      <c r="E348" s="75"/>
      <c r="F348" s="74" t="str">
        <f aca="false">IF(A348="","",MONTH(A348))</f>
        <v/>
      </c>
      <c r="G348" s="73"/>
      <c r="H348" s="73"/>
    </row>
    <row r="349" customFormat="false" ht="15" hidden="false" customHeight="false" outlineLevel="0" collapsed="false">
      <c r="A349" s="76"/>
      <c r="B349" s="77"/>
      <c r="C349" s="77"/>
      <c r="D349" s="78" t="str">
        <f aca="false">IFERROR(INDEX(Categories!$B$2:$B$33,MATCH(C349,Categories!$A$2:$A$33,0)),"")</f>
        <v/>
      </c>
      <c r="E349" s="79"/>
      <c r="F349" s="78" t="str">
        <f aca="false">IF(A349="","",MONTH(A349))</f>
        <v/>
      </c>
      <c r="G349" s="77"/>
      <c r="H349" s="77"/>
    </row>
    <row r="350" customFormat="false" ht="15" hidden="false" customHeight="false" outlineLevel="0" collapsed="false">
      <c r="A350" s="72"/>
      <c r="B350" s="73"/>
      <c r="C350" s="73"/>
      <c r="D350" s="74" t="str">
        <f aca="false">IFERROR(INDEX(Categories!$B$2:$B$33,MATCH(C350,Categories!$A$2:$A$33,0)),"")</f>
        <v/>
      </c>
      <c r="E350" s="75"/>
      <c r="F350" s="74" t="str">
        <f aca="false">IF(A350="","",MONTH(A350))</f>
        <v/>
      </c>
      <c r="G350" s="73"/>
      <c r="H350" s="73"/>
    </row>
    <row r="351" customFormat="false" ht="15" hidden="false" customHeight="false" outlineLevel="0" collapsed="false">
      <c r="A351" s="76"/>
      <c r="B351" s="77"/>
      <c r="C351" s="77"/>
      <c r="D351" s="78" t="str">
        <f aca="false">IFERROR(INDEX(Categories!$B$2:$B$33,MATCH(C351,Categories!$A$2:$A$33,0)),"")</f>
        <v/>
      </c>
      <c r="E351" s="79"/>
      <c r="F351" s="78" t="str">
        <f aca="false">IF(A351="","",MONTH(A351))</f>
        <v/>
      </c>
      <c r="G351" s="77"/>
      <c r="H351" s="77"/>
    </row>
    <row r="352" customFormat="false" ht="15" hidden="false" customHeight="false" outlineLevel="0" collapsed="false">
      <c r="A352" s="72"/>
      <c r="B352" s="73"/>
      <c r="C352" s="73"/>
      <c r="D352" s="74" t="str">
        <f aca="false">IFERROR(INDEX(Categories!$B$2:$B$33,MATCH(C352,Categories!$A$2:$A$33,0)),"")</f>
        <v/>
      </c>
      <c r="E352" s="75"/>
      <c r="F352" s="74" t="str">
        <f aca="false">IF(A352="","",MONTH(A352))</f>
        <v/>
      </c>
      <c r="G352" s="73"/>
      <c r="H352" s="73"/>
    </row>
    <row r="353" customFormat="false" ht="15" hidden="false" customHeight="false" outlineLevel="0" collapsed="false">
      <c r="A353" s="76"/>
      <c r="B353" s="77"/>
      <c r="C353" s="77"/>
      <c r="D353" s="78" t="str">
        <f aca="false">IFERROR(INDEX(Categories!$B$2:$B$33,MATCH(C353,Categories!$A$2:$A$33,0)),"")</f>
        <v/>
      </c>
      <c r="E353" s="79"/>
      <c r="F353" s="78" t="str">
        <f aca="false">IF(A353="","",MONTH(A353))</f>
        <v/>
      </c>
      <c r="G353" s="77"/>
      <c r="H353" s="77"/>
    </row>
    <row r="354" customFormat="false" ht="15" hidden="false" customHeight="false" outlineLevel="0" collapsed="false">
      <c r="A354" s="72"/>
      <c r="B354" s="73"/>
      <c r="C354" s="73"/>
      <c r="D354" s="74" t="str">
        <f aca="false">IFERROR(INDEX(Categories!$B$2:$B$33,MATCH(C354,Categories!$A$2:$A$33,0)),"")</f>
        <v/>
      </c>
      <c r="E354" s="75"/>
      <c r="F354" s="74" t="str">
        <f aca="false">IF(A354="","",MONTH(A354))</f>
        <v/>
      </c>
      <c r="G354" s="73"/>
      <c r="H354" s="73"/>
    </row>
    <row r="355" customFormat="false" ht="15" hidden="false" customHeight="false" outlineLevel="0" collapsed="false">
      <c r="A355" s="76"/>
      <c r="B355" s="77"/>
      <c r="C355" s="77"/>
      <c r="D355" s="78" t="str">
        <f aca="false">IFERROR(INDEX(Categories!$B$2:$B$33,MATCH(C355,Categories!$A$2:$A$33,0)),"")</f>
        <v/>
      </c>
      <c r="E355" s="79"/>
      <c r="F355" s="78" t="str">
        <f aca="false">IF(A355="","",MONTH(A355))</f>
        <v/>
      </c>
      <c r="G355" s="77"/>
      <c r="H355" s="77"/>
    </row>
    <row r="356" customFormat="false" ht="15" hidden="false" customHeight="false" outlineLevel="0" collapsed="false">
      <c r="A356" s="72"/>
      <c r="B356" s="73"/>
      <c r="C356" s="73"/>
      <c r="D356" s="74" t="str">
        <f aca="false">IFERROR(INDEX(Categories!$B$2:$B$33,MATCH(C356,Categories!$A$2:$A$33,0)),"")</f>
        <v/>
      </c>
      <c r="E356" s="75"/>
      <c r="F356" s="74" t="str">
        <f aca="false">IF(A356="","",MONTH(A356))</f>
        <v/>
      </c>
      <c r="G356" s="73"/>
      <c r="H356" s="73"/>
    </row>
    <row r="357" customFormat="false" ht="15" hidden="false" customHeight="false" outlineLevel="0" collapsed="false">
      <c r="A357" s="76"/>
      <c r="B357" s="77"/>
      <c r="C357" s="77"/>
      <c r="D357" s="78" t="str">
        <f aca="false">IFERROR(INDEX(Categories!$B$2:$B$33,MATCH(C357,Categories!$A$2:$A$33,0)),"")</f>
        <v/>
      </c>
      <c r="E357" s="79"/>
      <c r="F357" s="78" t="str">
        <f aca="false">IF(A357="","",MONTH(A357))</f>
        <v/>
      </c>
      <c r="G357" s="77"/>
      <c r="H357" s="77"/>
    </row>
    <row r="358" customFormat="false" ht="15" hidden="false" customHeight="false" outlineLevel="0" collapsed="false">
      <c r="A358" s="72"/>
      <c r="B358" s="73"/>
      <c r="C358" s="73"/>
      <c r="D358" s="74" t="str">
        <f aca="false">IFERROR(INDEX(Categories!$B$2:$B$33,MATCH(C358,Categories!$A$2:$A$33,0)),"")</f>
        <v/>
      </c>
      <c r="E358" s="75"/>
      <c r="F358" s="74" t="str">
        <f aca="false">IF(A358="","",MONTH(A358))</f>
        <v/>
      </c>
      <c r="G358" s="73"/>
      <c r="H358" s="73"/>
    </row>
    <row r="359" customFormat="false" ht="15" hidden="false" customHeight="false" outlineLevel="0" collapsed="false">
      <c r="A359" s="76"/>
      <c r="B359" s="77"/>
      <c r="C359" s="77"/>
      <c r="D359" s="78" t="str">
        <f aca="false">IFERROR(INDEX(Categories!$B$2:$B$33,MATCH(C359,Categories!$A$2:$A$33,0)),"")</f>
        <v/>
      </c>
      <c r="E359" s="79"/>
      <c r="F359" s="78" t="str">
        <f aca="false">IF(A359="","",MONTH(A359))</f>
        <v/>
      </c>
      <c r="G359" s="77"/>
      <c r="H359" s="77"/>
    </row>
    <row r="360" customFormat="false" ht="15" hidden="false" customHeight="false" outlineLevel="0" collapsed="false">
      <c r="A360" s="72"/>
      <c r="B360" s="73"/>
      <c r="C360" s="73"/>
      <c r="D360" s="74" t="str">
        <f aca="false">IFERROR(INDEX(Categories!$B$2:$B$33,MATCH(C360,Categories!$A$2:$A$33,0)),"")</f>
        <v/>
      </c>
      <c r="E360" s="75"/>
      <c r="F360" s="74" t="str">
        <f aca="false">IF(A360="","",MONTH(A360))</f>
        <v/>
      </c>
      <c r="G360" s="73"/>
      <c r="H360" s="73"/>
    </row>
    <row r="361" customFormat="false" ht="15" hidden="false" customHeight="false" outlineLevel="0" collapsed="false">
      <c r="A361" s="76"/>
      <c r="B361" s="77"/>
      <c r="C361" s="77"/>
      <c r="D361" s="78" t="str">
        <f aca="false">IFERROR(INDEX(Categories!$B$2:$B$33,MATCH(C361,Categories!$A$2:$A$33,0)),"")</f>
        <v/>
      </c>
      <c r="E361" s="79"/>
      <c r="F361" s="78" t="str">
        <f aca="false">IF(A361="","",MONTH(A361))</f>
        <v/>
      </c>
      <c r="G361" s="77"/>
      <c r="H361" s="77"/>
    </row>
    <row r="362" customFormat="false" ht="15" hidden="false" customHeight="false" outlineLevel="0" collapsed="false">
      <c r="A362" s="72"/>
      <c r="B362" s="73"/>
      <c r="C362" s="73"/>
      <c r="D362" s="74" t="str">
        <f aca="false">IFERROR(INDEX(Categories!$B$2:$B$33,MATCH(C362,Categories!$A$2:$A$33,0)),"")</f>
        <v/>
      </c>
      <c r="E362" s="75"/>
      <c r="F362" s="74" t="str">
        <f aca="false">IF(A362="","",MONTH(A362))</f>
        <v/>
      </c>
      <c r="G362" s="73"/>
      <c r="H362" s="73"/>
    </row>
    <row r="363" customFormat="false" ht="15" hidden="false" customHeight="false" outlineLevel="0" collapsed="false">
      <c r="A363" s="76"/>
      <c r="B363" s="77"/>
      <c r="C363" s="77"/>
      <c r="D363" s="78" t="str">
        <f aca="false">IFERROR(INDEX(Categories!$B$2:$B$33,MATCH(C363,Categories!$A$2:$A$33,0)),"")</f>
        <v/>
      </c>
      <c r="E363" s="79"/>
      <c r="F363" s="78" t="str">
        <f aca="false">IF(A363="","",MONTH(A363))</f>
        <v/>
      </c>
      <c r="G363" s="77"/>
      <c r="H363" s="77"/>
    </row>
    <row r="364" customFormat="false" ht="15" hidden="false" customHeight="false" outlineLevel="0" collapsed="false">
      <c r="A364" s="72"/>
      <c r="B364" s="73"/>
      <c r="C364" s="73"/>
      <c r="D364" s="74" t="str">
        <f aca="false">IFERROR(INDEX(Categories!$B$2:$B$33,MATCH(C364,Categories!$A$2:$A$33,0)),"")</f>
        <v/>
      </c>
      <c r="E364" s="75"/>
      <c r="F364" s="74" t="str">
        <f aca="false">IF(A364="","",MONTH(A364))</f>
        <v/>
      </c>
      <c r="G364" s="73"/>
      <c r="H364" s="73"/>
    </row>
    <row r="365" customFormat="false" ht="15" hidden="false" customHeight="false" outlineLevel="0" collapsed="false">
      <c r="A365" s="76"/>
      <c r="B365" s="77"/>
      <c r="C365" s="77"/>
      <c r="D365" s="78" t="str">
        <f aca="false">IFERROR(INDEX(Categories!$B$2:$B$33,MATCH(C365,Categories!$A$2:$A$33,0)),"")</f>
        <v/>
      </c>
      <c r="E365" s="79"/>
      <c r="F365" s="78" t="str">
        <f aca="false">IF(A365="","",MONTH(A365))</f>
        <v/>
      </c>
      <c r="G365" s="77"/>
      <c r="H365" s="77"/>
    </row>
    <row r="366" customFormat="false" ht="15" hidden="false" customHeight="false" outlineLevel="0" collapsed="false">
      <c r="A366" s="72"/>
      <c r="B366" s="73"/>
      <c r="C366" s="73"/>
      <c r="D366" s="74" t="str">
        <f aca="false">IFERROR(INDEX(Categories!$B$2:$B$33,MATCH(C366,Categories!$A$2:$A$33,0)),"")</f>
        <v/>
      </c>
      <c r="E366" s="75"/>
      <c r="F366" s="74" t="str">
        <f aca="false">IF(A366="","",MONTH(A366))</f>
        <v/>
      </c>
      <c r="G366" s="73"/>
      <c r="H366" s="73"/>
    </row>
    <row r="367" customFormat="false" ht="15" hidden="false" customHeight="false" outlineLevel="0" collapsed="false">
      <c r="A367" s="76"/>
      <c r="B367" s="77"/>
      <c r="C367" s="77"/>
      <c r="D367" s="78" t="str">
        <f aca="false">IFERROR(INDEX(Categories!$B$2:$B$33,MATCH(C367,Categories!$A$2:$A$33,0)),"")</f>
        <v/>
      </c>
      <c r="E367" s="79"/>
      <c r="F367" s="78" t="str">
        <f aca="false">IF(A367="","",MONTH(A367))</f>
        <v/>
      </c>
      <c r="G367" s="77"/>
      <c r="H367" s="77"/>
    </row>
    <row r="368" customFormat="false" ht="15" hidden="false" customHeight="false" outlineLevel="0" collapsed="false">
      <c r="A368" s="72"/>
      <c r="B368" s="73"/>
      <c r="C368" s="73"/>
      <c r="D368" s="74" t="str">
        <f aca="false">IFERROR(INDEX(Categories!$B$2:$B$33,MATCH(C368,Categories!$A$2:$A$33,0)),"")</f>
        <v/>
      </c>
      <c r="E368" s="75"/>
      <c r="F368" s="74" t="str">
        <f aca="false">IF(A368="","",MONTH(A368))</f>
        <v/>
      </c>
      <c r="G368" s="73"/>
      <c r="H368" s="73"/>
    </row>
    <row r="369" customFormat="false" ht="15" hidden="false" customHeight="false" outlineLevel="0" collapsed="false">
      <c r="A369" s="76"/>
      <c r="B369" s="77"/>
      <c r="C369" s="77"/>
      <c r="D369" s="78" t="str">
        <f aca="false">IFERROR(INDEX(Categories!$B$2:$B$33,MATCH(C369,Categories!$A$2:$A$33,0)),"")</f>
        <v/>
      </c>
      <c r="E369" s="79"/>
      <c r="F369" s="78" t="str">
        <f aca="false">IF(A369="","",MONTH(A369))</f>
        <v/>
      </c>
      <c r="G369" s="77"/>
      <c r="H369" s="77"/>
    </row>
    <row r="370" customFormat="false" ht="15" hidden="false" customHeight="false" outlineLevel="0" collapsed="false">
      <c r="A370" s="72"/>
      <c r="B370" s="73"/>
      <c r="C370" s="73"/>
      <c r="D370" s="74" t="str">
        <f aca="false">IFERROR(INDEX(Categories!$B$2:$B$33,MATCH(C370,Categories!$A$2:$A$33,0)),"")</f>
        <v/>
      </c>
      <c r="E370" s="75"/>
      <c r="F370" s="74" t="str">
        <f aca="false">IF(A370="","",MONTH(A370))</f>
        <v/>
      </c>
      <c r="G370" s="73"/>
      <c r="H370" s="73"/>
    </row>
    <row r="371" customFormat="false" ht="15" hidden="false" customHeight="false" outlineLevel="0" collapsed="false">
      <c r="A371" s="76"/>
      <c r="B371" s="77"/>
      <c r="C371" s="77"/>
      <c r="D371" s="78" t="str">
        <f aca="false">IFERROR(INDEX(Categories!$B$2:$B$33,MATCH(C371,Categories!$A$2:$A$33,0)),"")</f>
        <v/>
      </c>
      <c r="E371" s="79"/>
      <c r="F371" s="78" t="str">
        <f aca="false">IF(A371="","",MONTH(A371))</f>
        <v/>
      </c>
      <c r="G371" s="77"/>
      <c r="H371" s="77"/>
    </row>
    <row r="372" customFormat="false" ht="15" hidden="false" customHeight="false" outlineLevel="0" collapsed="false">
      <c r="A372" s="72"/>
      <c r="B372" s="73"/>
      <c r="C372" s="73"/>
      <c r="D372" s="74" t="str">
        <f aca="false">IFERROR(INDEX(Categories!$B$2:$B$33,MATCH(C372,Categories!$A$2:$A$33,0)),"")</f>
        <v/>
      </c>
      <c r="E372" s="75"/>
      <c r="F372" s="74" t="str">
        <f aca="false">IF(A372="","",MONTH(A372))</f>
        <v/>
      </c>
      <c r="G372" s="73"/>
      <c r="H372" s="73"/>
    </row>
    <row r="373" customFormat="false" ht="15" hidden="false" customHeight="false" outlineLevel="0" collapsed="false">
      <c r="A373" s="76"/>
      <c r="B373" s="77"/>
      <c r="C373" s="77"/>
      <c r="D373" s="78" t="str">
        <f aca="false">IFERROR(INDEX(Categories!$B$2:$B$33,MATCH(C373,Categories!$A$2:$A$33,0)),"")</f>
        <v/>
      </c>
      <c r="E373" s="79"/>
      <c r="F373" s="78" t="str">
        <f aca="false">IF(A373="","",MONTH(A373))</f>
        <v/>
      </c>
      <c r="G373" s="77"/>
      <c r="H373" s="77"/>
    </row>
    <row r="374" customFormat="false" ht="15" hidden="false" customHeight="false" outlineLevel="0" collapsed="false">
      <c r="A374" s="72"/>
      <c r="B374" s="73"/>
      <c r="C374" s="73"/>
      <c r="D374" s="74" t="str">
        <f aca="false">IFERROR(INDEX(Categories!$B$2:$B$33,MATCH(C374,Categories!$A$2:$A$33,0)),"")</f>
        <v/>
      </c>
      <c r="E374" s="75"/>
      <c r="F374" s="74" t="str">
        <f aca="false">IF(A374="","",MONTH(A374))</f>
        <v/>
      </c>
      <c r="G374" s="73"/>
      <c r="H374" s="73"/>
    </row>
    <row r="375" customFormat="false" ht="15" hidden="false" customHeight="false" outlineLevel="0" collapsed="false">
      <c r="A375" s="76"/>
      <c r="B375" s="77"/>
      <c r="C375" s="77"/>
      <c r="D375" s="78" t="str">
        <f aca="false">IFERROR(INDEX(Categories!$B$2:$B$33,MATCH(C375,Categories!$A$2:$A$33,0)),"")</f>
        <v/>
      </c>
      <c r="E375" s="79"/>
      <c r="F375" s="78" t="str">
        <f aca="false">IF(A375="","",MONTH(A375))</f>
        <v/>
      </c>
      <c r="G375" s="77"/>
      <c r="H375" s="77"/>
    </row>
    <row r="376" customFormat="false" ht="15" hidden="false" customHeight="false" outlineLevel="0" collapsed="false">
      <c r="A376" s="72"/>
      <c r="B376" s="73"/>
      <c r="C376" s="73"/>
      <c r="D376" s="74" t="str">
        <f aca="false">IFERROR(INDEX(Categories!$B$2:$B$33,MATCH(C376,Categories!$A$2:$A$33,0)),"")</f>
        <v/>
      </c>
      <c r="E376" s="75"/>
      <c r="F376" s="74" t="str">
        <f aca="false">IF(A376="","",MONTH(A376))</f>
        <v/>
      </c>
      <c r="G376" s="73"/>
      <c r="H376" s="73"/>
    </row>
    <row r="377" customFormat="false" ht="15" hidden="false" customHeight="false" outlineLevel="0" collapsed="false">
      <c r="A377" s="76"/>
      <c r="B377" s="77"/>
      <c r="C377" s="77"/>
      <c r="D377" s="78" t="str">
        <f aca="false">IFERROR(INDEX(Categories!$B$2:$B$33,MATCH(C377,Categories!$A$2:$A$33,0)),"")</f>
        <v/>
      </c>
      <c r="E377" s="79"/>
      <c r="F377" s="78" t="str">
        <f aca="false">IF(A377="","",MONTH(A377))</f>
        <v/>
      </c>
      <c r="G377" s="77"/>
      <c r="H377" s="77"/>
    </row>
    <row r="378" customFormat="false" ht="15" hidden="false" customHeight="false" outlineLevel="0" collapsed="false">
      <c r="A378" s="72"/>
      <c r="B378" s="73"/>
      <c r="C378" s="73"/>
      <c r="D378" s="74" t="str">
        <f aca="false">IFERROR(INDEX(Categories!$B$2:$B$33,MATCH(C378,Categories!$A$2:$A$33,0)),"")</f>
        <v/>
      </c>
      <c r="E378" s="75"/>
      <c r="F378" s="74" t="str">
        <f aca="false">IF(A378="","",MONTH(A378))</f>
        <v/>
      </c>
      <c r="G378" s="73"/>
      <c r="H378" s="73"/>
    </row>
    <row r="379" customFormat="false" ht="15" hidden="false" customHeight="false" outlineLevel="0" collapsed="false">
      <c r="A379" s="76"/>
      <c r="B379" s="77"/>
      <c r="C379" s="77"/>
      <c r="D379" s="78" t="str">
        <f aca="false">IFERROR(INDEX(Categories!$B$2:$B$33,MATCH(C379,Categories!$A$2:$A$33,0)),"")</f>
        <v/>
      </c>
      <c r="E379" s="79"/>
      <c r="F379" s="78" t="str">
        <f aca="false">IF(A379="","",MONTH(A379))</f>
        <v/>
      </c>
      <c r="G379" s="77"/>
      <c r="H379" s="77"/>
    </row>
    <row r="380" customFormat="false" ht="15" hidden="false" customHeight="false" outlineLevel="0" collapsed="false">
      <c r="A380" s="72"/>
      <c r="B380" s="73"/>
      <c r="C380" s="73"/>
      <c r="D380" s="74" t="str">
        <f aca="false">IFERROR(INDEX(Categories!$B$2:$B$33,MATCH(C380,Categories!$A$2:$A$33,0)),"")</f>
        <v/>
      </c>
      <c r="E380" s="75"/>
      <c r="F380" s="74" t="str">
        <f aca="false">IF(A380="","",MONTH(A380))</f>
        <v/>
      </c>
      <c r="G380" s="73"/>
      <c r="H380" s="73"/>
    </row>
    <row r="381" customFormat="false" ht="15" hidden="false" customHeight="false" outlineLevel="0" collapsed="false">
      <c r="A381" s="76"/>
      <c r="B381" s="77"/>
      <c r="C381" s="77"/>
      <c r="D381" s="78" t="str">
        <f aca="false">IFERROR(INDEX(Categories!$B$2:$B$33,MATCH(C381,Categories!$A$2:$A$33,0)),"")</f>
        <v/>
      </c>
      <c r="E381" s="79"/>
      <c r="F381" s="78" t="str">
        <f aca="false">IF(A381="","",MONTH(A381))</f>
        <v/>
      </c>
      <c r="G381" s="77"/>
      <c r="H381" s="77"/>
    </row>
    <row r="382" customFormat="false" ht="15" hidden="false" customHeight="false" outlineLevel="0" collapsed="false">
      <c r="A382" s="72"/>
      <c r="B382" s="73"/>
      <c r="C382" s="73"/>
      <c r="D382" s="74" t="str">
        <f aca="false">IFERROR(INDEX(Categories!$B$2:$B$33,MATCH(C382,Categories!$A$2:$A$33,0)),"")</f>
        <v/>
      </c>
      <c r="E382" s="75"/>
      <c r="F382" s="74" t="str">
        <f aca="false">IF(A382="","",MONTH(A382))</f>
        <v/>
      </c>
      <c r="G382" s="73"/>
      <c r="H382" s="73"/>
    </row>
    <row r="383" customFormat="false" ht="15" hidden="false" customHeight="false" outlineLevel="0" collapsed="false">
      <c r="A383" s="76"/>
      <c r="B383" s="77"/>
      <c r="C383" s="77"/>
      <c r="D383" s="78" t="str">
        <f aca="false">IFERROR(INDEX(Categories!$B$2:$B$33,MATCH(C383,Categories!$A$2:$A$33,0)),"")</f>
        <v/>
      </c>
      <c r="E383" s="79"/>
      <c r="F383" s="78" t="str">
        <f aca="false">IF(A383="","",MONTH(A383))</f>
        <v/>
      </c>
      <c r="G383" s="77"/>
      <c r="H383" s="77"/>
    </row>
    <row r="384" customFormat="false" ht="15" hidden="false" customHeight="false" outlineLevel="0" collapsed="false">
      <c r="A384" s="72"/>
      <c r="B384" s="73"/>
      <c r="C384" s="73"/>
      <c r="D384" s="74" t="str">
        <f aca="false">IFERROR(INDEX(Categories!$B$2:$B$33,MATCH(C384,Categories!$A$2:$A$33,0)),"")</f>
        <v/>
      </c>
      <c r="E384" s="75"/>
      <c r="F384" s="74" t="str">
        <f aca="false">IF(A384="","",MONTH(A384))</f>
        <v/>
      </c>
      <c r="G384" s="73"/>
      <c r="H384" s="73"/>
    </row>
    <row r="385" customFormat="false" ht="15" hidden="false" customHeight="false" outlineLevel="0" collapsed="false">
      <c r="A385" s="76"/>
      <c r="B385" s="77"/>
      <c r="C385" s="77"/>
      <c r="D385" s="78" t="str">
        <f aca="false">IFERROR(INDEX(Categories!$B$2:$B$33,MATCH(C385,Categories!$A$2:$A$33,0)),"")</f>
        <v/>
      </c>
      <c r="E385" s="79"/>
      <c r="F385" s="78" t="str">
        <f aca="false">IF(A385="","",MONTH(A385))</f>
        <v/>
      </c>
      <c r="G385" s="77"/>
      <c r="H385" s="77"/>
    </row>
    <row r="386" customFormat="false" ht="15" hidden="false" customHeight="false" outlineLevel="0" collapsed="false">
      <c r="A386" s="72"/>
      <c r="B386" s="73"/>
      <c r="C386" s="73"/>
      <c r="D386" s="74" t="str">
        <f aca="false">IFERROR(INDEX(Categories!$B$2:$B$33,MATCH(C386,Categories!$A$2:$A$33,0)),"")</f>
        <v/>
      </c>
      <c r="E386" s="75"/>
      <c r="F386" s="74" t="str">
        <f aca="false">IF(A386="","",MONTH(A386))</f>
        <v/>
      </c>
      <c r="G386" s="73"/>
      <c r="H386" s="73"/>
    </row>
    <row r="387" customFormat="false" ht="15" hidden="false" customHeight="false" outlineLevel="0" collapsed="false">
      <c r="A387" s="76"/>
      <c r="B387" s="77"/>
      <c r="C387" s="77"/>
      <c r="D387" s="78" t="str">
        <f aca="false">IFERROR(INDEX(Categories!$B$2:$B$33,MATCH(C387,Categories!$A$2:$A$33,0)),"")</f>
        <v/>
      </c>
      <c r="E387" s="79"/>
      <c r="F387" s="78" t="str">
        <f aca="false">IF(A387="","",MONTH(A387))</f>
        <v/>
      </c>
      <c r="G387" s="77"/>
      <c r="H387" s="77"/>
    </row>
    <row r="388" customFormat="false" ht="15" hidden="false" customHeight="false" outlineLevel="0" collapsed="false">
      <c r="A388" s="72"/>
      <c r="B388" s="73"/>
      <c r="C388" s="73"/>
      <c r="D388" s="74" t="str">
        <f aca="false">IFERROR(INDEX(Categories!$B$2:$B$33,MATCH(C388,Categories!$A$2:$A$33,0)),"")</f>
        <v/>
      </c>
      <c r="E388" s="75"/>
      <c r="F388" s="74" t="str">
        <f aca="false">IF(A388="","",MONTH(A388))</f>
        <v/>
      </c>
      <c r="G388" s="73"/>
      <c r="H388" s="73"/>
    </row>
    <row r="389" customFormat="false" ht="15" hidden="false" customHeight="false" outlineLevel="0" collapsed="false">
      <c r="A389" s="76"/>
      <c r="B389" s="77"/>
      <c r="C389" s="77"/>
      <c r="D389" s="78" t="str">
        <f aca="false">IFERROR(INDEX(Categories!$B$2:$B$33,MATCH(C389,Categories!$A$2:$A$33,0)),"")</f>
        <v/>
      </c>
      <c r="E389" s="79"/>
      <c r="F389" s="78" t="str">
        <f aca="false">IF(A389="","",MONTH(A389))</f>
        <v/>
      </c>
      <c r="G389" s="77"/>
      <c r="H389" s="77"/>
    </row>
    <row r="390" customFormat="false" ht="15" hidden="false" customHeight="false" outlineLevel="0" collapsed="false">
      <c r="A390" s="72"/>
      <c r="B390" s="73"/>
      <c r="C390" s="73"/>
      <c r="D390" s="74" t="str">
        <f aca="false">IFERROR(INDEX(Categories!$B$2:$B$33,MATCH(C390,Categories!$A$2:$A$33,0)),"")</f>
        <v/>
      </c>
      <c r="E390" s="75"/>
      <c r="F390" s="74" t="str">
        <f aca="false">IF(A390="","",MONTH(A390))</f>
        <v/>
      </c>
      <c r="G390" s="73"/>
      <c r="H390" s="73"/>
    </row>
    <row r="391" customFormat="false" ht="15" hidden="false" customHeight="false" outlineLevel="0" collapsed="false">
      <c r="A391" s="76"/>
      <c r="B391" s="77"/>
      <c r="C391" s="77"/>
      <c r="D391" s="78" t="str">
        <f aca="false">IFERROR(INDEX(Categories!$B$2:$B$33,MATCH(C391,Categories!$A$2:$A$33,0)),"")</f>
        <v/>
      </c>
      <c r="E391" s="79"/>
      <c r="F391" s="78" t="str">
        <f aca="false">IF(A391="","",MONTH(A391))</f>
        <v/>
      </c>
      <c r="G391" s="77"/>
      <c r="H391" s="77"/>
    </row>
    <row r="392" customFormat="false" ht="15" hidden="false" customHeight="false" outlineLevel="0" collapsed="false">
      <c r="A392" s="72"/>
      <c r="B392" s="73"/>
      <c r="C392" s="73"/>
      <c r="D392" s="74" t="str">
        <f aca="false">IFERROR(INDEX(Categories!$B$2:$B$33,MATCH(C392,Categories!$A$2:$A$33,0)),"")</f>
        <v/>
      </c>
      <c r="E392" s="75"/>
      <c r="F392" s="74" t="str">
        <f aca="false">IF(A392="","",MONTH(A392))</f>
        <v/>
      </c>
      <c r="G392" s="73"/>
      <c r="H392" s="73"/>
    </row>
    <row r="393" customFormat="false" ht="15" hidden="false" customHeight="false" outlineLevel="0" collapsed="false">
      <c r="A393" s="76"/>
      <c r="B393" s="77"/>
      <c r="C393" s="77"/>
      <c r="D393" s="78" t="str">
        <f aca="false">IFERROR(INDEX(Categories!$B$2:$B$33,MATCH(C393,Categories!$A$2:$A$33,0)),"")</f>
        <v/>
      </c>
      <c r="E393" s="79"/>
      <c r="F393" s="78" t="str">
        <f aca="false">IF(A393="","",MONTH(A393))</f>
        <v/>
      </c>
      <c r="G393" s="77"/>
      <c r="H393" s="77"/>
    </row>
    <row r="394" customFormat="false" ht="15" hidden="false" customHeight="false" outlineLevel="0" collapsed="false">
      <c r="A394" s="72"/>
      <c r="B394" s="73"/>
      <c r="C394" s="73"/>
      <c r="D394" s="74" t="str">
        <f aca="false">IFERROR(INDEX(Categories!$B$2:$B$33,MATCH(C394,Categories!$A$2:$A$33,0)),"")</f>
        <v/>
      </c>
      <c r="E394" s="75"/>
      <c r="F394" s="74" t="str">
        <f aca="false">IF(A394="","",MONTH(A394))</f>
        <v/>
      </c>
      <c r="G394" s="73"/>
      <c r="H394" s="73"/>
    </row>
    <row r="395" customFormat="false" ht="15" hidden="false" customHeight="false" outlineLevel="0" collapsed="false">
      <c r="A395" s="76"/>
      <c r="B395" s="77"/>
      <c r="C395" s="77"/>
      <c r="D395" s="78" t="str">
        <f aca="false">IFERROR(INDEX(Categories!$B$2:$B$33,MATCH(C395,Categories!$A$2:$A$33,0)),"")</f>
        <v/>
      </c>
      <c r="E395" s="79"/>
      <c r="F395" s="78" t="str">
        <f aca="false">IF(A395="","",MONTH(A395))</f>
        <v/>
      </c>
      <c r="G395" s="77"/>
      <c r="H395" s="77"/>
    </row>
    <row r="396" customFormat="false" ht="15" hidden="false" customHeight="false" outlineLevel="0" collapsed="false">
      <c r="A396" s="72"/>
      <c r="B396" s="73"/>
      <c r="C396" s="73"/>
      <c r="D396" s="74" t="str">
        <f aca="false">IFERROR(INDEX(Categories!$B$2:$B$33,MATCH(C396,Categories!$A$2:$A$33,0)),"")</f>
        <v/>
      </c>
      <c r="E396" s="75"/>
      <c r="F396" s="74" t="str">
        <f aca="false">IF(A396="","",MONTH(A396))</f>
        <v/>
      </c>
      <c r="G396" s="73"/>
      <c r="H396" s="73"/>
    </row>
    <row r="397" customFormat="false" ht="15" hidden="false" customHeight="false" outlineLevel="0" collapsed="false">
      <c r="A397" s="76"/>
      <c r="B397" s="77"/>
      <c r="C397" s="77"/>
      <c r="D397" s="78" t="str">
        <f aca="false">IFERROR(INDEX(Categories!$B$2:$B$33,MATCH(C397,Categories!$A$2:$A$33,0)),"")</f>
        <v/>
      </c>
      <c r="E397" s="79"/>
      <c r="F397" s="78" t="str">
        <f aca="false">IF(A397="","",MONTH(A397))</f>
        <v/>
      </c>
      <c r="G397" s="77"/>
      <c r="H397" s="77"/>
    </row>
    <row r="398" customFormat="false" ht="15" hidden="false" customHeight="false" outlineLevel="0" collapsed="false">
      <c r="A398" s="72"/>
      <c r="B398" s="73"/>
      <c r="C398" s="73"/>
      <c r="D398" s="74" t="str">
        <f aca="false">IFERROR(INDEX(Categories!$B$2:$B$33,MATCH(C398,Categories!$A$2:$A$33,0)),"")</f>
        <v/>
      </c>
      <c r="E398" s="75"/>
      <c r="F398" s="74" t="str">
        <f aca="false">IF(A398="","",MONTH(A398))</f>
        <v/>
      </c>
      <c r="G398" s="73"/>
      <c r="H398" s="73"/>
    </row>
    <row r="399" customFormat="false" ht="15" hidden="false" customHeight="false" outlineLevel="0" collapsed="false">
      <c r="A399" s="76"/>
      <c r="B399" s="77"/>
      <c r="C399" s="77"/>
      <c r="D399" s="78" t="str">
        <f aca="false">IFERROR(INDEX(Categories!$B$2:$B$33,MATCH(C399,Categories!$A$2:$A$33,0)),"")</f>
        <v/>
      </c>
      <c r="E399" s="79"/>
      <c r="F399" s="78" t="str">
        <f aca="false">IF(A399="","",MONTH(A399))</f>
        <v/>
      </c>
      <c r="G399" s="77"/>
      <c r="H399" s="77"/>
    </row>
    <row r="400" customFormat="false" ht="15" hidden="false" customHeight="false" outlineLevel="0" collapsed="false">
      <c r="A400" s="72"/>
      <c r="B400" s="73"/>
      <c r="C400" s="73"/>
      <c r="D400" s="74" t="str">
        <f aca="false">IFERROR(INDEX(Categories!$B$2:$B$33,MATCH(C400,Categories!$A$2:$A$33,0)),"")</f>
        <v/>
      </c>
      <c r="E400" s="75"/>
      <c r="F400" s="74" t="str">
        <f aca="false">IF(A400="","",MONTH(A400))</f>
        <v/>
      </c>
      <c r="G400" s="73"/>
      <c r="H400" s="73"/>
    </row>
  </sheetData>
  <mergeCells count="2">
    <mergeCell ref="A1:H1"/>
    <mergeCell ref="A2:H2"/>
  </mergeCells>
  <dataValidations count="2">
    <dataValidation allowBlank="true" error="Please choose a category from the dropdown list." errorStyle="stop" operator="between" prompt="Pick a category" showDropDown="false" showErrorMessage="false" showInputMessage="false" sqref="C4:C400" type="list">
      <formula1>Categories!$A$2:$A$33</formula1>
      <formula2>0</formula2>
    </dataValidation>
    <dataValidation allowBlank="true" errorStyle="stop" operator="between" showDropDown="false" showErrorMessage="false" showInputMessage="false" sqref="G4:G400" type="list">
      <formula1>"Cash,Debit Card,Credit Card,Bank Transfer,Direct Deposit,PayPal,Check,Other"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30" hidden="false" customHeight="true" outlineLevel="0" collapsed="false">
      <c r="A1" s="80" t="s">
        <v>129</v>
      </c>
      <c r="B1" s="80"/>
      <c r="C1" s="80"/>
      <c r="D1" s="80"/>
      <c r="E1" s="80"/>
      <c r="F1" s="80"/>
      <c r="G1" s="80"/>
      <c r="H1" s="80"/>
    </row>
    <row r="2" customFormat="false" ht="15" hidden="false" customHeight="false" outlineLevel="0" collapsed="false">
      <c r="A2" s="70" t="s">
        <v>130</v>
      </c>
      <c r="B2" s="70"/>
      <c r="C2" s="70"/>
      <c r="D2" s="70"/>
      <c r="E2" s="70"/>
      <c r="F2" s="70"/>
      <c r="G2" s="70"/>
      <c r="H2" s="70"/>
    </row>
    <row r="3" customFormat="false" ht="30" hidden="false" customHeight="true" outlineLevel="0" collapsed="false">
      <c r="A3" s="81" t="s">
        <v>131</v>
      </c>
      <c r="B3" s="81" t="s">
        <v>132</v>
      </c>
      <c r="C3" s="81" t="s">
        <v>133</v>
      </c>
      <c r="D3" s="81" t="s">
        <v>134</v>
      </c>
      <c r="E3" s="81" t="s">
        <v>135</v>
      </c>
      <c r="F3" s="81" t="s">
        <v>136</v>
      </c>
      <c r="G3" s="81" t="s">
        <v>137</v>
      </c>
      <c r="H3" s="81" t="s">
        <v>112</v>
      </c>
    </row>
    <row r="4" customFormat="false" ht="15" hidden="false" customHeight="false" outlineLevel="0" collapsed="false">
      <c r="A4" s="82" t="s">
        <v>138</v>
      </c>
      <c r="B4" s="83" t="n">
        <v>3200</v>
      </c>
      <c r="C4" s="84" t="n">
        <v>0.2199</v>
      </c>
      <c r="D4" s="83" t="n">
        <v>90</v>
      </c>
      <c r="E4" s="83" t="n">
        <v>60</v>
      </c>
      <c r="F4" s="85" t="n">
        <f aca="false">IF(D4=0,"",D4+E4)</f>
        <v>150</v>
      </c>
      <c r="G4" s="86" t="n">
        <f aca="false">IF(OR(B4=0,F4=0),"",IF(F4&lt;=B4*C4/12,"Payment too low",IF(C4=0,ROUNDUP(B4/F4,0),ROUNDUP(NPER(C4/12,-F4,B4),0))))</f>
        <v>28</v>
      </c>
      <c r="H4" s="82"/>
    </row>
    <row r="5" customFormat="false" ht="15" hidden="false" customHeight="false" outlineLevel="0" collapsed="false">
      <c r="A5" s="82" t="s">
        <v>139</v>
      </c>
      <c r="B5" s="83" t="n">
        <v>14500</v>
      </c>
      <c r="C5" s="84" t="n">
        <v>0.055</v>
      </c>
      <c r="D5" s="83" t="n">
        <v>165</v>
      </c>
      <c r="E5" s="83" t="n">
        <v>0</v>
      </c>
      <c r="F5" s="85" t="n">
        <f aca="false">IF(D5=0,"",D5+E5)</f>
        <v>165</v>
      </c>
      <c r="G5" s="86" t="n">
        <f aca="false">IF(OR(B5=0,F5=0),"",IF(F5&lt;=B5*C5/12,"Payment too low",IF(C5=0,ROUNDUP(B5/F5,0),ROUNDUP(NPER(C5/12,-F5,B5),0))))</f>
        <v>113</v>
      </c>
      <c r="H5" s="82"/>
    </row>
    <row r="6" customFormat="false" ht="15" hidden="false" customHeight="false" outlineLevel="0" collapsed="false">
      <c r="A6" s="82" t="s">
        <v>140</v>
      </c>
      <c r="B6" s="83" t="n">
        <v>9800</v>
      </c>
      <c r="C6" s="84" t="n">
        <v>0.049</v>
      </c>
      <c r="D6" s="83" t="n">
        <v>320</v>
      </c>
      <c r="E6" s="83" t="n">
        <v>0</v>
      </c>
      <c r="F6" s="85" t="n">
        <f aca="false">IF(D6=0,"",D6+E6)</f>
        <v>320</v>
      </c>
      <c r="G6" s="86" t="n">
        <f aca="false">IF(OR(B6=0,F6=0),"",IF(F6&lt;=B6*C6/12,"Payment too low",IF(C6=0,ROUNDUP(B6/F6,0),ROUNDUP(NPER(C6/12,-F6,B6),0))))</f>
        <v>33</v>
      </c>
      <c r="H6" s="82"/>
    </row>
    <row r="7" customFormat="false" ht="15" hidden="false" customHeight="false" outlineLevel="0" collapsed="false">
      <c r="A7" s="82"/>
      <c r="B7" s="83"/>
      <c r="C7" s="84"/>
      <c r="D7" s="83"/>
      <c r="E7" s="83"/>
      <c r="F7" s="85" t="str">
        <f aca="false">IF(D7=0,"",D7+E7)</f>
        <v/>
      </c>
      <c r="G7" s="86" t="str">
        <f aca="false">IF(OR(B7=0,F7=0),"",IF(F7&lt;=B7*C7/12,"Payment too low",IF(C7=0,ROUNDUP(B7/F7,0),ROUNDUP(NPER(C7/12,-F7,B7),0))))</f>
        <v/>
      </c>
      <c r="H7" s="82"/>
    </row>
    <row r="8" customFormat="false" ht="15" hidden="false" customHeight="false" outlineLevel="0" collapsed="false">
      <c r="A8" s="82"/>
      <c r="B8" s="83"/>
      <c r="C8" s="84"/>
      <c r="D8" s="83"/>
      <c r="E8" s="83"/>
      <c r="F8" s="85" t="str">
        <f aca="false">IF(D8=0,"",D8+E8)</f>
        <v/>
      </c>
      <c r="G8" s="86" t="str">
        <f aca="false">IF(OR(B8=0,F8=0),"",IF(F8&lt;=B8*C8/12,"Payment too low",IF(C8=0,ROUNDUP(B8/F8,0),ROUNDUP(NPER(C8/12,-F8,B8),0))))</f>
        <v/>
      </c>
      <c r="H8" s="82"/>
    </row>
    <row r="9" customFormat="false" ht="15" hidden="false" customHeight="false" outlineLevel="0" collapsed="false">
      <c r="A9" s="82"/>
      <c r="B9" s="83"/>
      <c r="C9" s="84"/>
      <c r="D9" s="83"/>
      <c r="E9" s="83"/>
      <c r="F9" s="85" t="str">
        <f aca="false">IF(D9=0,"",D9+E9)</f>
        <v/>
      </c>
      <c r="G9" s="86" t="str">
        <f aca="false">IF(OR(B9=0,F9=0),"",IF(F9&lt;=B9*C9/12,"Payment too low",IF(C9=0,ROUNDUP(B9/F9,0),ROUNDUP(NPER(C9/12,-F9,B9),0))))</f>
        <v/>
      </c>
      <c r="H9" s="82"/>
    </row>
    <row r="10" customFormat="false" ht="15" hidden="false" customHeight="false" outlineLevel="0" collapsed="false">
      <c r="A10" s="82"/>
      <c r="B10" s="83"/>
      <c r="C10" s="84"/>
      <c r="D10" s="83"/>
      <c r="E10" s="83"/>
      <c r="F10" s="85" t="str">
        <f aca="false">IF(D10=0,"",D10+E10)</f>
        <v/>
      </c>
      <c r="G10" s="86" t="str">
        <f aca="false">IF(OR(B10=0,F10=0),"",IF(F10&lt;=B10*C10/12,"Payment too low",IF(C10=0,ROUNDUP(B10/F10,0),ROUNDUP(NPER(C10/12,-F10,B10),0))))</f>
        <v/>
      </c>
      <c r="H10" s="82"/>
    </row>
    <row r="11" customFormat="false" ht="15" hidden="false" customHeight="false" outlineLevel="0" collapsed="false">
      <c r="A11" s="82"/>
      <c r="B11" s="83"/>
      <c r="C11" s="84"/>
      <c r="D11" s="83"/>
      <c r="E11" s="83"/>
      <c r="F11" s="85" t="str">
        <f aca="false">IF(D11=0,"",D11+E11)</f>
        <v/>
      </c>
      <c r="G11" s="86" t="str">
        <f aca="false">IF(OR(B11=0,F11=0),"",IF(F11&lt;=B11*C11/12,"Payment too low",IF(C11=0,ROUNDUP(B11/F11,0),ROUNDUP(NPER(C11/12,-F11,B11),0))))</f>
        <v/>
      </c>
      <c r="H11" s="82"/>
    </row>
    <row r="12" customFormat="false" ht="15" hidden="false" customHeight="false" outlineLevel="0" collapsed="false">
      <c r="A12" s="82"/>
      <c r="B12" s="83"/>
      <c r="C12" s="84"/>
      <c r="D12" s="83"/>
      <c r="E12" s="83"/>
      <c r="F12" s="85" t="str">
        <f aca="false">IF(D12=0,"",D12+E12)</f>
        <v/>
      </c>
      <c r="G12" s="86" t="str">
        <f aca="false">IF(OR(B12=0,F12=0),"",IF(F12&lt;=B12*C12/12,"Payment too low",IF(C12=0,ROUNDUP(B12/F12,0),ROUNDUP(NPER(C12/12,-F12,B12),0))))</f>
        <v/>
      </c>
      <c r="H12" s="82"/>
    </row>
    <row r="13" customFormat="false" ht="15" hidden="false" customHeight="false" outlineLevel="0" collapsed="false">
      <c r="A13" s="82"/>
      <c r="B13" s="83"/>
      <c r="C13" s="84"/>
      <c r="D13" s="83"/>
      <c r="E13" s="83"/>
      <c r="F13" s="85" t="str">
        <f aca="false">IF(D13=0,"",D13+E13)</f>
        <v/>
      </c>
      <c r="G13" s="86" t="str">
        <f aca="false">IF(OR(B13=0,F13=0),"",IF(F13&lt;=B13*C13/12,"Payment too low",IF(C13=0,ROUNDUP(B13/F13,0),ROUNDUP(NPER(C13/12,-F13,B13),0))))</f>
        <v/>
      </c>
      <c r="H13" s="82"/>
    </row>
    <row r="14" customFormat="false" ht="15" hidden="false" customHeight="false" outlineLevel="0" collapsed="false">
      <c r="A14" s="82"/>
      <c r="B14" s="83"/>
      <c r="C14" s="84"/>
      <c r="D14" s="83"/>
      <c r="E14" s="83"/>
      <c r="F14" s="85" t="str">
        <f aca="false">IF(D14=0,"",D14+E14)</f>
        <v/>
      </c>
      <c r="G14" s="86" t="str">
        <f aca="false">IF(OR(B14=0,F14=0),"",IF(F14&lt;=B14*C14/12,"Payment too low",IF(C14=0,ROUNDUP(B14/F14,0),ROUNDUP(NPER(C14/12,-F14,B14),0))))</f>
        <v/>
      </c>
      <c r="H14" s="82"/>
    </row>
    <row r="15" customFormat="false" ht="15" hidden="false" customHeight="false" outlineLevel="0" collapsed="false">
      <c r="A15" s="82"/>
      <c r="B15" s="83"/>
      <c r="C15" s="84"/>
      <c r="D15" s="83"/>
      <c r="E15" s="83"/>
      <c r="F15" s="85" t="str">
        <f aca="false">IF(D15=0,"",D15+E15)</f>
        <v/>
      </c>
      <c r="G15" s="86" t="str">
        <f aca="false">IF(OR(B15=0,F15=0),"",IF(F15&lt;=B15*C15/12,"Payment too low",IF(C15=0,ROUNDUP(B15/F15,0),ROUNDUP(NPER(C15/12,-F15,B15),0))))</f>
        <v/>
      </c>
      <c r="H15" s="82"/>
    </row>
    <row r="16" customFormat="false" ht="15" hidden="false" customHeight="false" outlineLevel="0" collapsed="false">
      <c r="A16" s="82"/>
      <c r="B16" s="83"/>
      <c r="C16" s="84"/>
      <c r="D16" s="83"/>
      <c r="E16" s="83"/>
      <c r="F16" s="85" t="str">
        <f aca="false">IF(D16=0,"",D16+E16)</f>
        <v/>
      </c>
      <c r="G16" s="86" t="str">
        <f aca="false">IF(OR(B16=0,F16=0),"",IF(F16&lt;=B16*C16/12,"Payment too low",IF(C16=0,ROUNDUP(B16/F16,0),ROUNDUP(NPER(C16/12,-F16,B16),0))))</f>
        <v/>
      </c>
      <c r="H16" s="82"/>
    </row>
    <row r="17" customFormat="false" ht="15" hidden="false" customHeight="false" outlineLevel="0" collapsed="false">
      <c r="A17" s="82"/>
      <c r="B17" s="83"/>
      <c r="C17" s="84"/>
      <c r="D17" s="83"/>
      <c r="E17" s="83"/>
      <c r="F17" s="85" t="str">
        <f aca="false">IF(D17=0,"",D17+E17)</f>
        <v/>
      </c>
      <c r="G17" s="86" t="str">
        <f aca="false">IF(OR(B17=0,F17=0),"",IF(F17&lt;=B17*C17/12,"Payment too low",IF(C17=0,ROUNDUP(B17/F17,0),ROUNDUP(NPER(C17/12,-F17,B17),0))))</f>
        <v/>
      </c>
      <c r="H17" s="82"/>
    </row>
    <row r="18" customFormat="false" ht="15" hidden="false" customHeight="false" outlineLevel="0" collapsed="false">
      <c r="A18" s="82"/>
      <c r="B18" s="83"/>
      <c r="C18" s="84"/>
      <c r="D18" s="83"/>
      <c r="E18" s="83"/>
      <c r="F18" s="85" t="str">
        <f aca="false">IF(D18=0,"",D18+E18)</f>
        <v/>
      </c>
      <c r="G18" s="86" t="str">
        <f aca="false">IF(OR(B18=0,F18=0),"",IF(F18&lt;=B18*C18/12,"Payment too low",IF(C18=0,ROUNDUP(B18/F18,0),ROUNDUP(NPER(C18/12,-F18,B18),0))))</f>
        <v/>
      </c>
      <c r="H18" s="82"/>
    </row>
    <row r="19" customFormat="false" ht="15" hidden="false" customHeight="false" outlineLevel="0" collapsed="false">
      <c r="A19" s="82"/>
      <c r="B19" s="83"/>
      <c r="C19" s="84"/>
      <c r="D19" s="83"/>
      <c r="E19" s="83"/>
      <c r="F19" s="85" t="str">
        <f aca="false">IF(D19=0,"",D19+E19)</f>
        <v/>
      </c>
      <c r="G19" s="86" t="str">
        <f aca="false">IF(OR(B19=0,F19=0),"",IF(F19&lt;=B19*C19/12,"Payment too low",IF(C19=0,ROUNDUP(B19/F19,0),ROUNDUP(NPER(C19/12,-F19,B19),0))))</f>
        <v/>
      </c>
      <c r="H19" s="82"/>
    </row>
    <row r="20" customFormat="false" ht="15" hidden="false" customHeight="false" outlineLevel="0" collapsed="false">
      <c r="A20" s="82"/>
      <c r="B20" s="83"/>
      <c r="C20" s="84"/>
      <c r="D20" s="83"/>
      <c r="E20" s="83"/>
      <c r="F20" s="85" t="str">
        <f aca="false">IF(D20=0,"",D20+E20)</f>
        <v/>
      </c>
      <c r="G20" s="86" t="str">
        <f aca="false">IF(OR(B20=0,F20=0),"",IF(F20&lt;=B20*C20/12,"Payment too low",IF(C20=0,ROUNDUP(B20/F20,0),ROUNDUP(NPER(C20/12,-F20,B20),0))))</f>
        <v/>
      </c>
      <c r="H20" s="82"/>
    </row>
    <row r="22" customFormat="false" ht="15" hidden="false" customHeight="false" outlineLevel="0" collapsed="false">
      <c r="A22" s="87" t="s">
        <v>141</v>
      </c>
      <c r="B22" s="88" t="n">
        <f aca="false">SUM(B4:B20)</f>
        <v>27500</v>
      </c>
    </row>
    <row r="24" customFormat="false" ht="15" hidden="false" customHeight="false" outlineLevel="0" collapsed="false">
      <c r="A24" s="89" t="s">
        <v>142</v>
      </c>
      <c r="B24" s="89"/>
      <c r="C24" s="89"/>
      <c r="D24" s="89"/>
      <c r="E24" s="89"/>
      <c r="F24" s="89"/>
      <c r="G24" s="89"/>
      <c r="H24" s="89"/>
    </row>
  </sheetData>
  <mergeCells count="3">
    <mergeCell ref="A1:H1"/>
    <mergeCell ref="A2:H2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998"/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30" hidden="false" customHeight="true" outlineLevel="0" collapsed="false">
      <c r="A1" s="90" t="s">
        <v>143</v>
      </c>
      <c r="B1" s="90"/>
      <c r="C1" s="90"/>
      <c r="D1" s="90"/>
      <c r="E1" s="90"/>
      <c r="F1" s="90"/>
      <c r="G1" s="90"/>
    </row>
    <row r="2" customFormat="false" ht="15" hidden="false" customHeight="false" outlineLevel="0" collapsed="false">
      <c r="A2" s="70" t="s">
        <v>144</v>
      </c>
      <c r="B2" s="70"/>
      <c r="C2" s="70"/>
      <c r="D2" s="70"/>
      <c r="E2" s="70"/>
      <c r="F2" s="70"/>
      <c r="G2" s="70"/>
    </row>
    <row r="3" customFormat="false" ht="30" hidden="false" customHeight="true" outlineLevel="0" collapsed="false">
      <c r="A3" s="91" t="s">
        <v>145</v>
      </c>
      <c r="B3" s="91" t="s">
        <v>146</v>
      </c>
      <c r="C3" s="91" t="s">
        <v>147</v>
      </c>
      <c r="D3" s="91" t="s">
        <v>148</v>
      </c>
      <c r="E3" s="91" t="s">
        <v>149</v>
      </c>
      <c r="F3" s="91" t="s">
        <v>150</v>
      </c>
      <c r="G3" s="91" t="s">
        <v>112</v>
      </c>
    </row>
    <row r="4" customFormat="false" ht="15" hidden="false" customHeight="false" outlineLevel="0" collapsed="false">
      <c r="A4" s="82" t="s">
        <v>74</v>
      </c>
      <c r="B4" s="83" t="n">
        <v>10000</v>
      </c>
      <c r="C4" s="83" t="n">
        <v>3200</v>
      </c>
      <c r="D4" s="92" t="n">
        <v>46387</v>
      </c>
      <c r="E4" s="93" t="n">
        <f aca="false">IF(B4=0,"",MIN(C4/B4,1))</f>
        <v>0.32</v>
      </c>
      <c r="F4" s="94" t="n">
        <f aca="true">IF(OR(B4=0,D4=0),"",IF(D4&lt;=TODAY(),"Past due",IFERROR(MAX((B4-C4)/((YEAR(D4)-YEAR(TODAY()))*12+(MONTH(D4)-MONTH(TODAY()))),0),"")))</f>
        <v>2266.66666666667</v>
      </c>
      <c r="G4" s="82"/>
    </row>
    <row r="5" customFormat="false" ht="15" hidden="false" customHeight="false" outlineLevel="0" collapsed="false">
      <c r="A5" s="82" t="s">
        <v>151</v>
      </c>
      <c r="B5" s="83" t="n">
        <v>4000</v>
      </c>
      <c r="C5" s="83" t="n">
        <v>650</v>
      </c>
      <c r="D5" s="92" t="n">
        <v>46235</v>
      </c>
      <c r="E5" s="93" t="n">
        <f aca="false">IF(B5=0,"",MIN(C5/B5,1))</f>
        <v>0.1625</v>
      </c>
      <c r="F5" s="94" t="str">
        <f aca="true">IF(OR(B5=0,D5=0),"",IF(D5&lt;=TODAY(),"Past due",IFERROR(MAX((B5-C5)/((YEAR(D5)-YEAR(TODAY()))*12+(MONTH(D5)-MONTH(TODAY()))),0),"")))</f>
        <v>Past due</v>
      </c>
      <c r="G5" s="82"/>
    </row>
    <row r="6" customFormat="false" ht="15" hidden="false" customHeight="false" outlineLevel="0" collapsed="false">
      <c r="A6" s="82" t="s">
        <v>152</v>
      </c>
      <c r="B6" s="83" t="n">
        <v>6000</v>
      </c>
      <c r="C6" s="83" t="n">
        <v>900</v>
      </c>
      <c r="D6" s="92" t="n">
        <v>46447</v>
      </c>
      <c r="E6" s="93" t="n">
        <f aca="false">IF(B6=0,"",MIN(C6/B6,1))</f>
        <v>0.15</v>
      </c>
      <c r="F6" s="94" t="n">
        <f aca="true">IF(OR(B6=0,D6=0),"",IF(D6&lt;=TODAY(),"Past due",IFERROR(MAX((B6-C6)/((YEAR(D6)-YEAR(TODAY()))*12+(MONTH(D6)-MONTH(TODAY()))),0),"")))</f>
        <v>850</v>
      </c>
      <c r="G6" s="82"/>
    </row>
    <row r="7" customFormat="false" ht="15" hidden="false" customHeight="false" outlineLevel="0" collapsed="false">
      <c r="A7" s="82"/>
      <c r="B7" s="83"/>
      <c r="C7" s="83"/>
      <c r="D7" s="92"/>
      <c r="E7" s="93" t="str">
        <f aca="false">IF(B7=0,"",MIN(C7/B7,1))</f>
        <v/>
      </c>
      <c r="F7" s="94" t="str">
        <f aca="true">IF(OR(B7=0,D7=0),"",IF(D7&lt;=TODAY(),"Past due",IFERROR(MAX((B7-C7)/((YEAR(D7)-YEAR(TODAY()))*12+(MONTH(D7)-MONTH(TODAY()))),0),"")))</f>
        <v/>
      </c>
      <c r="G7" s="82"/>
    </row>
    <row r="8" customFormat="false" ht="15" hidden="false" customHeight="false" outlineLevel="0" collapsed="false">
      <c r="A8" s="82"/>
      <c r="B8" s="83"/>
      <c r="C8" s="83"/>
      <c r="D8" s="92"/>
      <c r="E8" s="93" t="str">
        <f aca="false">IF(B8=0,"",MIN(C8/B8,1))</f>
        <v/>
      </c>
      <c r="F8" s="94" t="str">
        <f aca="true">IF(OR(B8=0,D8=0),"",IF(D8&lt;=TODAY(),"Past due",IFERROR(MAX((B8-C8)/((YEAR(D8)-YEAR(TODAY()))*12+(MONTH(D8)-MONTH(TODAY()))),0),"")))</f>
        <v/>
      </c>
      <c r="G8" s="82"/>
    </row>
    <row r="9" customFormat="false" ht="15" hidden="false" customHeight="false" outlineLevel="0" collapsed="false">
      <c r="A9" s="82"/>
      <c r="B9" s="83"/>
      <c r="C9" s="83"/>
      <c r="D9" s="92"/>
      <c r="E9" s="93" t="str">
        <f aca="false">IF(B9=0,"",MIN(C9/B9,1))</f>
        <v/>
      </c>
      <c r="F9" s="94" t="str">
        <f aca="true">IF(OR(B9=0,D9=0),"",IF(D9&lt;=TODAY(),"Past due",IFERROR(MAX((B9-C9)/((YEAR(D9)-YEAR(TODAY()))*12+(MONTH(D9)-MONTH(TODAY()))),0),"")))</f>
        <v/>
      </c>
      <c r="G9" s="82"/>
    </row>
    <row r="10" customFormat="false" ht="15" hidden="false" customHeight="false" outlineLevel="0" collapsed="false">
      <c r="A10" s="82"/>
      <c r="B10" s="83"/>
      <c r="C10" s="83"/>
      <c r="D10" s="92"/>
      <c r="E10" s="93" t="str">
        <f aca="false">IF(B10=0,"",MIN(C10/B10,1))</f>
        <v/>
      </c>
      <c r="F10" s="94" t="str">
        <f aca="true">IF(OR(B10=0,D10=0),"",IF(D10&lt;=TODAY(),"Past due",IFERROR(MAX((B10-C10)/((YEAR(D10)-YEAR(TODAY()))*12+(MONTH(D10)-MONTH(TODAY()))),0),"")))</f>
        <v/>
      </c>
      <c r="G10" s="82"/>
    </row>
    <row r="11" customFormat="false" ht="15" hidden="false" customHeight="false" outlineLevel="0" collapsed="false">
      <c r="A11" s="82"/>
      <c r="B11" s="83"/>
      <c r="C11" s="83"/>
      <c r="D11" s="92"/>
      <c r="E11" s="93" t="str">
        <f aca="false">IF(B11=0,"",MIN(C11/B11,1))</f>
        <v/>
      </c>
      <c r="F11" s="94" t="str">
        <f aca="true">IF(OR(B11=0,D11=0),"",IF(D11&lt;=TODAY(),"Past due",IFERROR(MAX((B11-C11)/((YEAR(D11)-YEAR(TODAY()))*12+(MONTH(D11)-MONTH(TODAY()))),0),"")))</f>
        <v/>
      </c>
      <c r="G11" s="82"/>
    </row>
    <row r="12" customFormat="false" ht="15" hidden="false" customHeight="false" outlineLevel="0" collapsed="false">
      <c r="A12" s="82"/>
      <c r="B12" s="83"/>
      <c r="C12" s="83"/>
      <c r="D12" s="92"/>
      <c r="E12" s="93" t="str">
        <f aca="false">IF(B12=0,"",MIN(C12/B12,1))</f>
        <v/>
      </c>
      <c r="F12" s="94" t="str">
        <f aca="true">IF(OR(B12=0,D12=0),"",IF(D12&lt;=TODAY(),"Past due",IFERROR(MAX((B12-C12)/((YEAR(D12)-YEAR(TODAY()))*12+(MONTH(D12)-MONTH(TODAY()))),0),"")))</f>
        <v/>
      </c>
      <c r="G12" s="82"/>
    </row>
    <row r="13" customFormat="false" ht="15" hidden="false" customHeight="false" outlineLevel="0" collapsed="false">
      <c r="A13" s="82"/>
      <c r="B13" s="83"/>
      <c r="C13" s="83"/>
      <c r="D13" s="92"/>
      <c r="E13" s="93" t="str">
        <f aca="false">IF(B13=0,"",MIN(C13/B13,1))</f>
        <v/>
      </c>
      <c r="F13" s="94" t="str">
        <f aca="true">IF(OR(B13=0,D13=0),"",IF(D13&lt;=TODAY(),"Past due",IFERROR(MAX((B13-C13)/((YEAR(D13)-YEAR(TODAY()))*12+(MONTH(D13)-MONTH(TODAY()))),0),"")))</f>
        <v/>
      </c>
      <c r="G13" s="82"/>
    </row>
    <row r="14" customFormat="false" ht="15" hidden="false" customHeight="false" outlineLevel="0" collapsed="false">
      <c r="A14" s="82"/>
      <c r="B14" s="83"/>
      <c r="C14" s="83"/>
      <c r="D14" s="92"/>
      <c r="E14" s="93" t="str">
        <f aca="false">IF(B14=0,"",MIN(C14/B14,1))</f>
        <v/>
      </c>
      <c r="F14" s="94" t="str">
        <f aca="true">IF(OR(B14=0,D14=0),"",IF(D14&lt;=TODAY(),"Past due",IFERROR(MAX((B14-C14)/((YEAR(D14)-YEAR(TODAY()))*12+(MONTH(D14)-MONTH(TODAY()))),0),"")))</f>
        <v/>
      </c>
      <c r="G14" s="82"/>
    </row>
    <row r="15" customFormat="false" ht="15" hidden="false" customHeight="false" outlineLevel="0" collapsed="false">
      <c r="A15" s="82"/>
      <c r="B15" s="83"/>
      <c r="C15" s="83"/>
      <c r="D15" s="92"/>
      <c r="E15" s="93" t="str">
        <f aca="false">IF(B15=0,"",MIN(C15/B15,1))</f>
        <v/>
      </c>
      <c r="F15" s="94" t="str">
        <f aca="true">IF(OR(B15=0,D15=0),"",IF(D15&lt;=TODAY(),"Past due",IFERROR(MAX((B15-C15)/((YEAR(D15)-YEAR(TODAY()))*12+(MONTH(D15)-MONTH(TODAY()))),0),"")))</f>
        <v/>
      </c>
      <c r="G15" s="82"/>
    </row>
    <row r="16" customFormat="false" ht="15" hidden="false" customHeight="false" outlineLevel="0" collapsed="false">
      <c r="A16" s="82"/>
      <c r="B16" s="83"/>
      <c r="C16" s="83"/>
      <c r="D16" s="92"/>
      <c r="E16" s="93" t="str">
        <f aca="false">IF(B16=0,"",MIN(C16/B16,1))</f>
        <v/>
      </c>
      <c r="F16" s="94" t="str">
        <f aca="true">IF(OR(B16=0,D16=0),"",IF(D16&lt;=TODAY(),"Past due",IFERROR(MAX((B16-C16)/((YEAR(D16)-YEAR(TODAY()))*12+(MONTH(D16)-MONTH(TODAY()))),0),"")))</f>
        <v/>
      </c>
      <c r="G16" s="82"/>
    </row>
    <row r="17" customFormat="false" ht="15" hidden="false" customHeight="false" outlineLevel="0" collapsed="false">
      <c r="A17" s="82"/>
      <c r="B17" s="83"/>
      <c r="C17" s="83"/>
      <c r="D17" s="92"/>
      <c r="E17" s="93" t="str">
        <f aca="false">IF(B17=0,"",MIN(C17/B17,1))</f>
        <v/>
      </c>
      <c r="F17" s="94" t="str">
        <f aca="true">IF(OR(B17=0,D17=0),"",IF(D17&lt;=TODAY(),"Past due",IFERROR(MAX((B17-C17)/((YEAR(D17)-YEAR(TODAY()))*12+(MONTH(D17)-MONTH(TODAY()))),0),"")))</f>
        <v/>
      </c>
      <c r="G17" s="82"/>
    </row>
    <row r="18" customFormat="false" ht="15" hidden="false" customHeight="false" outlineLevel="0" collapsed="false">
      <c r="A18" s="82"/>
      <c r="B18" s="83"/>
      <c r="C18" s="83"/>
      <c r="D18" s="92"/>
      <c r="E18" s="93" t="str">
        <f aca="false">IF(B18=0,"",MIN(C18/B18,1))</f>
        <v/>
      </c>
      <c r="F18" s="94" t="str">
        <f aca="true">IF(OR(B18=0,D18=0),"",IF(D18&lt;=TODAY(),"Past due",IFERROR(MAX((B18-C18)/((YEAR(D18)-YEAR(TODAY()))*12+(MONTH(D18)-MONTH(TODAY()))),0),"")))</f>
        <v/>
      </c>
      <c r="G18" s="82"/>
    </row>
    <row r="20" customFormat="false" ht="15" hidden="false" customHeight="false" outlineLevel="0" collapsed="false">
      <c r="A20" s="89" t="s">
        <v>153</v>
      </c>
      <c r="B20" s="89"/>
      <c r="C20" s="89"/>
      <c r="D20" s="89"/>
      <c r="E20" s="89"/>
      <c r="F20" s="89"/>
      <c r="G20" s="89"/>
    </row>
  </sheetData>
  <mergeCells count="3">
    <mergeCell ref="A1:G1"/>
    <mergeCell ref="A2:G2"/>
    <mergeCell ref="A20:G20"/>
  </mergeCells>
  <conditionalFormatting sqref="E4:E18">
    <cfRule type="dataBar" priority="2">
      <dataBar showValue="1" minLength="10" maxLength="90">
        <cfvo type="num" val="0"/>
        <cfvo type="num" val="1"/>
        <color rgb="FF2F5D62"/>
      </dataBar>
      <extLst>
        <ext xmlns:x14="http://schemas.microsoft.com/office/spreadsheetml/2009/9/main" uri="{B025F937-C7B1-47D3-B67F-A62EFF666E3E}">
          <x14:id>{9910899E-7DC0-4828-AC37-B41B7525CCBB}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10899E-7DC0-4828-AC37-B41B7525CCB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5D62"/>
              <x14:axisColor rgb="FF000000"/>
            </x14:dataBar>
          </x14:cfRule>
          <xm:sqref>E4:E18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3A3A"/>
    <pageSetUpPr fitToPage="tru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3"/>
  </cols>
  <sheetData>
    <row r="1" customFormat="false" ht="15" hidden="false" customHeight="false" outlineLevel="0" collapsed="false">
      <c r="A1" s="95" t="s">
        <v>57</v>
      </c>
      <c r="B1" s="95" t="s">
        <v>154</v>
      </c>
    </row>
    <row r="2" customFormat="false" ht="15" hidden="false" customHeight="false" outlineLevel="0" collapsed="false">
      <c r="A2" s="96" t="s">
        <v>62</v>
      </c>
      <c r="B2" s="96" t="s">
        <v>155</v>
      </c>
    </row>
    <row r="3" customFormat="false" ht="15" hidden="false" customHeight="false" outlineLevel="0" collapsed="false">
      <c r="A3" s="96" t="s">
        <v>63</v>
      </c>
      <c r="B3" s="96" t="s">
        <v>155</v>
      </c>
    </row>
    <row r="4" customFormat="false" ht="15" hidden="false" customHeight="false" outlineLevel="0" collapsed="false">
      <c r="A4" s="96" t="s">
        <v>64</v>
      </c>
      <c r="B4" s="96" t="s">
        <v>155</v>
      </c>
    </row>
    <row r="5" customFormat="false" ht="15" hidden="false" customHeight="false" outlineLevel="0" collapsed="false">
      <c r="A5" s="96" t="s">
        <v>65</v>
      </c>
      <c r="B5" s="96" t="s">
        <v>155</v>
      </c>
    </row>
    <row r="6" customFormat="false" ht="15" hidden="false" customHeight="false" outlineLevel="0" collapsed="false">
      <c r="A6" s="96" t="s">
        <v>66</v>
      </c>
      <c r="B6" s="96" t="s">
        <v>155</v>
      </c>
    </row>
    <row r="7" customFormat="false" ht="15" hidden="false" customHeight="false" outlineLevel="0" collapsed="false">
      <c r="A7" s="96" t="s">
        <v>67</v>
      </c>
      <c r="B7" s="96" t="s">
        <v>155</v>
      </c>
    </row>
    <row r="8" customFormat="false" ht="15" hidden="false" customHeight="false" outlineLevel="0" collapsed="false">
      <c r="A8" s="96" t="s">
        <v>36</v>
      </c>
      <c r="B8" s="96" t="s">
        <v>156</v>
      </c>
    </row>
    <row r="9" customFormat="false" ht="15" hidden="false" customHeight="false" outlineLevel="0" collapsed="false">
      <c r="A9" s="96" t="s">
        <v>37</v>
      </c>
      <c r="B9" s="96" t="s">
        <v>156</v>
      </c>
    </row>
    <row r="10" customFormat="false" ht="15" hidden="false" customHeight="false" outlineLevel="0" collapsed="false">
      <c r="A10" s="96" t="s">
        <v>38</v>
      </c>
      <c r="B10" s="96" t="s">
        <v>156</v>
      </c>
    </row>
    <row r="11" customFormat="false" ht="15" hidden="false" customHeight="false" outlineLevel="0" collapsed="false">
      <c r="A11" s="96" t="s">
        <v>39</v>
      </c>
      <c r="B11" s="96" t="s">
        <v>156</v>
      </c>
    </row>
    <row r="12" customFormat="false" ht="15" hidden="false" customHeight="false" outlineLevel="0" collapsed="false">
      <c r="A12" s="96" t="s">
        <v>40</v>
      </c>
      <c r="B12" s="96" t="s">
        <v>156</v>
      </c>
    </row>
    <row r="13" customFormat="false" ht="15" hidden="false" customHeight="false" outlineLevel="0" collapsed="false">
      <c r="A13" s="96" t="s">
        <v>41</v>
      </c>
      <c r="B13" s="96" t="s">
        <v>156</v>
      </c>
    </row>
    <row r="14" customFormat="false" ht="15" hidden="false" customHeight="false" outlineLevel="0" collapsed="false">
      <c r="A14" s="96" t="s">
        <v>42</v>
      </c>
      <c r="B14" s="96" t="s">
        <v>156</v>
      </c>
    </row>
    <row r="15" customFormat="false" ht="15" hidden="false" customHeight="false" outlineLevel="0" collapsed="false">
      <c r="A15" s="96" t="s">
        <v>43</v>
      </c>
      <c r="B15" s="96" t="s">
        <v>156</v>
      </c>
    </row>
    <row r="16" customFormat="false" ht="15" hidden="false" customHeight="false" outlineLevel="0" collapsed="false">
      <c r="A16" s="96" t="s">
        <v>44</v>
      </c>
      <c r="B16" s="96" t="s">
        <v>157</v>
      </c>
    </row>
    <row r="17" customFormat="false" ht="15" hidden="false" customHeight="false" outlineLevel="0" collapsed="false">
      <c r="A17" s="96" t="s">
        <v>45</v>
      </c>
      <c r="B17" s="96" t="s">
        <v>157</v>
      </c>
    </row>
    <row r="18" customFormat="false" ht="15" hidden="false" customHeight="false" outlineLevel="0" collapsed="false">
      <c r="A18" s="96" t="s">
        <v>46</v>
      </c>
      <c r="B18" s="96" t="s">
        <v>157</v>
      </c>
    </row>
    <row r="19" customFormat="false" ht="15" hidden="false" customHeight="false" outlineLevel="0" collapsed="false">
      <c r="A19" s="96" t="s">
        <v>47</v>
      </c>
      <c r="B19" s="96" t="s">
        <v>157</v>
      </c>
    </row>
    <row r="20" customFormat="false" ht="15" hidden="false" customHeight="false" outlineLevel="0" collapsed="false">
      <c r="A20" s="96" t="s">
        <v>48</v>
      </c>
      <c r="B20" s="96" t="s">
        <v>157</v>
      </c>
    </row>
    <row r="21" customFormat="false" ht="15" hidden="false" customHeight="false" outlineLevel="0" collapsed="false">
      <c r="A21" s="96" t="s">
        <v>49</v>
      </c>
      <c r="B21" s="96" t="s">
        <v>157</v>
      </c>
    </row>
    <row r="22" customFormat="false" ht="15" hidden="false" customHeight="false" outlineLevel="0" collapsed="false">
      <c r="A22" s="96" t="s">
        <v>50</v>
      </c>
      <c r="B22" s="96" t="s">
        <v>157</v>
      </c>
    </row>
    <row r="23" customFormat="false" ht="15" hidden="false" customHeight="false" outlineLevel="0" collapsed="false">
      <c r="A23" s="96" t="s">
        <v>51</v>
      </c>
      <c r="B23" s="96" t="s">
        <v>157</v>
      </c>
    </row>
    <row r="24" customFormat="false" ht="15" hidden="false" customHeight="false" outlineLevel="0" collapsed="false">
      <c r="A24" s="96" t="s">
        <v>52</v>
      </c>
      <c r="B24" s="96" t="s">
        <v>157</v>
      </c>
    </row>
    <row r="25" customFormat="false" ht="15" hidden="false" customHeight="false" outlineLevel="0" collapsed="false">
      <c r="A25" s="96" t="s">
        <v>53</v>
      </c>
      <c r="B25" s="96" t="s">
        <v>157</v>
      </c>
    </row>
    <row r="26" customFormat="false" ht="15" hidden="false" customHeight="false" outlineLevel="0" collapsed="false">
      <c r="A26" s="96" t="s">
        <v>54</v>
      </c>
      <c r="B26" s="96" t="s">
        <v>157</v>
      </c>
    </row>
    <row r="27" customFormat="false" ht="15" hidden="false" customHeight="false" outlineLevel="0" collapsed="false">
      <c r="A27" s="96" t="s">
        <v>55</v>
      </c>
      <c r="B27" s="96" t="s">
        <v>157</v>
      </c>
    </row>
    <row r="28" customFormat="false" ht="15" hidden="false" customHeight="false" outlineLevel="0" collapsed="false">
      <c r="A28" s="96" t="s">
        <v>74</v>
      </c>
      <c r="B28" s="96" t="s">
        <v>158</v>
      </c>
    </row>
    <row r="29" customFormat="false" ht="15" hidden="false" customHeight="false" outlineLevel="0" collapsed="false">
      <c r="A29" s="96" t="s">
        <v>75</v>
      </c>
      <c r="B29" s="96" t="s">
        <v>158</v>
      </c>
    </row>
    <row r="30" customFormat="false" ht="15" hidden="false" customHeight="false" outlineLevel="0" collapsed="false">
      <c r="A30" s="96" t="s">
        <v>76</v>
      </c>
      <c r="B30" s="96" t="s">
        <v>158</v>
      </c>
    </row>
    <row r="31" customFormat="false" ht="15" hidden="false" customHeight="false" outlineLevel="0" collapsed="false">
      <c r="A31" s="96" t="s">
        <v>77</v>
      </c>
      <c r="B31" s="96" t="s">
        <v>158</v>
      </c>
    </row>
    <row r="32" customFormat="false" ht="15" hidden="false" customHeight="false" outlineLevel="0" collapsed="false">
      <c r="A32" s="96" t="s">
        <v>78</v>
      </c>
      <c r="B32" s="96" t="s">
        <v>158</v>
      </c>
    </row>
    <row r="33" customFormat="false" ht="15" hidden="false" customHeight="false" outlineLevel="0" collapsed="false">
      <c r="A33" s="96" t="s">
        <v>79</v>
      </c>
      <c r="B33" s="96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2026-09-04T21:43:18Z</dcterms:created>
  <dc:creator>Budget Planner</dc:creator>
  <dc:description>Monthly + annual budget planner with dashboard, transaction log, debt payoff and savings goal trackers.</dc:description>
  <dc:language>en-US</dc:language>
  <cp:lastModifiedBy/>
  <dcterms:modified xsi:type="dcterms:W3CDTF">2026-09-04T21:43:20Z</dcterms:modified>
  <cp:revision>1</cp:revision>
  <dc:subject>Personal Budget Tracker</dc:subject>
  <dc:title>The Ultimate Budget Planner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